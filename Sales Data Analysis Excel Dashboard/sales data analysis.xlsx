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ZA MIRZA\Desktop\"/>
    </mc:Choice>
  </mc:AlternateContent>
  <xr:revisionPtr revIDLastSave="0" documentId="8_{BA851294-B102-462A-8D62-5ABD7686BDFF}" xr6:coauthVersionLast="47" xr6:coauthVersionMax="47" xr10:uidLastSave="{00000000-0000-0000-0000-000000000000}"/>
  <bookViews>
    <workbookView xWindow="-108" yWindow="-108" windowWidth="23256" windowHeight="13896" tabRatio="887" xr2:uid="{4F7A76D7-4DF9-466A-B4F9-2AC98A9C4A62}"/>
  </bookViews>
  <sheets>
    <sheet name="Sales Analysis Project" sheetId="1" r:id="rId1"/>
    <sheet name="Analysis Questions" sheetId="8" r:id="rId2"/>
    <sheet name="Pivot Analysis" sheetId="6" r:id="rId3"/>
    <sheet name="Dashboard" sheetId="7" r:id="rId4"/>
  </sheets>
  <calcPr calcId="0"/>
  <pivotCaches>
    <pivotCache cacheId="13" r:id="rId5"/>
  </pivotCaches>
</workbook>
</file>

<file path=xl/calcChain.xml><?xml version="1.0" encoding="utf-8"?>
<calcChain xmlns="http://schemas.openxmlformats.org/spreadsheetml/2006/main">
  <c r="D3" i="7" l="1"/>
  <c r="C3" i="7"/>
  <c r="A3" i="7"/>
  <c r="B3" i="7"/>
</calcChain>
</file>

<file path=xl/sharedStrings.xml><?xml version="1.0" encoding="utf-8"?>
<sst xmlns="http://schemas.openxmlformats.org/spreadsheetml/2006/main" count="3066" uniqueCount="1052">
  <si>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</si>
  <si>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</si>
  <si>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</si>
  <si>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</si>
  <si>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</si>
  <si>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</si>
  <si>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</si>
  <si>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</si>
  <si>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</si>
  <si>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</si>
  <si>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</si>
  <si>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</si>
  <si>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</si>
  <si>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</si>
  <si>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</si>
  <si>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</si>
  <si>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</si>
  <si>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</si>
  <si>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</si>
  <si>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</si>
  <si>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</si>
  <si>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</si>
  <si>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</si>
  <si>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</si>
  <si>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</si>
  <si>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</si>
  <si>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</si>
  <si>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</si>
  <si>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</si>
  <si>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</si>
  <si>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</si>
  <si>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</si>
  <si>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</si>
  <si>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</si>
  <si>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</si>
  <si>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</si>
  <si>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</si>
  <si>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</si>
  <si>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</si>
  <si>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</si>
  <si>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</si>
  <si>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</si>
  <si>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</si>
  <si>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</si>
  <si>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</si>
  <si>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</si>
  <si>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</si>
  <si>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</si>
  <si>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</si>
  <si>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</si>
  <si>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</si>
  <si>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</si>
  <si>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</si>
  <si>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</si>
  <si>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</si>
  <si>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</si>
  <si>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</si>
  <si>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</si>
  <si>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</si>
  <si>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</si>
  <si>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</si>
  <si>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</si>
  <si>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</si>
  <si>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</si>
  <si>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</si>
  <si>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</si>
  <si>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</si>
  <si>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</si>
  <si>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</si>
  <si>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</si>
  <si>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</si>
  <si>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</si>
  <si>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</si>
  <si>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</si>
  <si>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</si>
  <si>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</si>
  <si>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</si>
  <si>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</si>
  <si>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</si>
  <si>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</si>
  <si>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</si>
  <si>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</si>
  <si>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</si>
  <si>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</si>
  <si>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</si>
  <si>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</si>
  <si>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</si>
  <si>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</si>
  <si>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</si>
  <si>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</si>
  <si>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</si>
  <si>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</si>
  <si>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</si>
  <si>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</si>
  <si>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</si>
  <si>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</si>
  <si>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</si>
  <si>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</si>
  <si>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</si>
  <si>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</si>
  <si>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</si>
  <si>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</si>
  <si>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</si>
  <si>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</si>
  <si>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</si>
  <si>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</si>
  <si>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</si>
  <si>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</si>
  <si>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</si>
  <si>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</si>
  <si>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</si>
  <si>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</si>
  <si>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</si>
  <si>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</si>
  <si>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</si>
  <si>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</si>
  <si>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</si>
  <si>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</si>
  <si>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</si>
  <si>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</si>
  <si>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</si>
  <si>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</si>
  <si>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</si>
  <si>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</si>
  <si>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</si>
  <si>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</si>
  <si>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</si>
  <si>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</si>
  <si>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</si>
  <si>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</si>
  <si>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</si>
  <si>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</si>
  <si>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</si>
  <si>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</si>
  <si>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</si>
  <si>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</si>
  <si>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</si>
  <si>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</si>
  <si>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</si>
  <si>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</si>
  <si>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</si>
  <si>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</si>
  <si>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</si>
  <si>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</si>
  <si>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</si>
  <si>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</si>
  <si>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</si>
  <si>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</si>
  <si>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</si>
  <si>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</si>
  <si>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</si>
  <si>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</si>
  <si>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</si>
  <si>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</si>
  <si>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</si>
  <si>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</si>
  <si>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</si>
  <si>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</si>
  <si>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</si>
  <si>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</si>
  <si>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</si>
  <si>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</si>
  <si>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</si>
  <si>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</si>
  <si>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</si>
  <si>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</si>
  <si>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</si>
  <si>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</si>
  <si>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</si>
  <si>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</si>
  <si>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</si>
  <si>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</si>
  <si>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</si>
  <si>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</si>
  <si>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</si>
  <si>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</si>
  <si>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</si>
  <si>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</si>
  <si>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</si>
  <si>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</si>
  <si>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</si>
  <si>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</si>
  <si>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</si>
  <si>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</si>
  <si>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</si>
  <si>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</si>
  <si>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</si>
  <si>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</si>
  <si>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</si>
  <si>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</si>
  <si>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</si>
  <si>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</si>
  <si>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</si>
  <si>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</si>
  <si>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</si>
  <si>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</si>
  <si>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</si>
  <si>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</si>
  <si>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</si>
  <si>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</si>
  <si>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</si>
  <si>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</si>
  <si>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</si>
  <si>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</si>
  <si>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</si>
  <si>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</si>
  <si>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</si>
  <si>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</si>
  <si>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</si>
  <si>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</si>
  <si>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</si>
  <si>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</si>
  <si>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</si>
  <si>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</si>
  <si>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</si>
  <si>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</si>
  <si>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</si>
  <si>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</si>
  <si>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</si>
  <si>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</si>
  <si>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</si>
  <si>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</si>
  <si>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</si>
  <si>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</si>
  <si>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</si>
  <si>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</si>
  <si>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</si>
  <si>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</si>
  <si>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</si>
  <si>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</si>
  <si>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</si>
  <si>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</si>
  <si>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</si>
  <si>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</si>
  <si>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</si>
  <si>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</si>
  <si>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</si>
  <si>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</si>
  <si>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</si>
  <si>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</si>
  <si>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</si>
  <si>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</si>
  <si>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</si>
  <si>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</si>
  <si>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</si>
  <si>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</si>
  <si>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</si>
  <si>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</si>
  <si>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</si>
  <si>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</si>
  <si>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</si>
  <si>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</si>
  <si>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</si>
  <si>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</si>
  <si>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</si>
  <si>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</si>
  <si>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</si>
  <si>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</si>
  <si>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</si>
  <si>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</si>
  <si>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</si>
  <si>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</si>
  <si>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</si>
  <si>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</si>
  <si>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</si>
  <si>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</si>
  <si>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</si>
  <si>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</si>
  <si>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</si>
  <si>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</si>
  <si>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</si>
  <si>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</si>
  <si>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</si>
  <si>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</si>
  <si>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</si>
  <si>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</si>
  <si>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</si>
  <si>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</si>
  <si>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</si>
  <si>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</si>
  <si>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</si>
  <si>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</si>
  <si>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</si>
  <si>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</si>
  <si>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</si>
  <si>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</si>
  <si>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</si>
  <si>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</si>
  <si>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</si>
  <si>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</si>
  <si>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</si>
  <si>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</si>
  <si>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</si>
  <si>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</si>
  <si>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</si>
  <si>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</si>
  <si>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</si>
  <si>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</si>
  <si>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</si>
  <si>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</si>
  <si>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</si>
  <si>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</si>
  <si>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</si>
  <si>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</si>
  <si>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</si>
  <si>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</si>
  <si>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</si>
  <si>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</si>
  <si>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</si>
  <si>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</si>
  <si>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</si>
  <si>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</si>
  <si>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</si>
  <si>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</si>
  <si>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</si>
  <si>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</si>
  <si>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</si>
  <si>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</si>
  <si>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</si>
  <si>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</si>
  <si>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</si>
  <si>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</si>
  <si>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</si>
  <si>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</si>
  <si>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</si>
  <si>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</si>
  <si>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</si>
  <si>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</si>
  <si>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</si>
  <si>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</si>
  <si>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</si>
  <si>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</si>
  <si>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</si>
  <si>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</si>
  <si>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</si>
  <si>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</si>
  <si>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</si>
  <si>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</si>
  <si>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</si>
  <si>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</si>
  <si>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</si>
  <si>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</si>
  <si>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</si>
  <si>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</si>
  <si>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</si>
  <si>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</si>
  <si>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</si>
  <si>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</si>
  <si>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</si>
  <si>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</si>
  <si>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</si>
  <si>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</si>
  <si>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</si>
  <si>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</si>
  <si>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</si>
  <si>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</si>
  <si>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</si>
  <si>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</si>
  <si>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</si>
  <si>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</si>
  <si>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</si>
  <si>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</si>
  <si>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</si>
  <si>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</si>
  <si>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</si>
  <si>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</si>
  <si>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</si>
  <si>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</si>
  <si>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</si>
  <si>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</si>
  <si>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</si>
  <si>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</si>
  <si>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</si>
  <si>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</si>
  <si>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</si>
  <si>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</si>
  <si>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</si>
  <si>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</si>
  <si>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</si>
  <si>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</si>
  <si>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</si>
  <si>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</si>
  <si>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</si>
  <si>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</si>
  <si>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</si>
  <si>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</si>
  <si>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</si>
  <si>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</si>
  <si>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</si>
  <si>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</si>
  <si>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</si>
  <si>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</si>
  <si>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</si>
  <si>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</si>
  <si>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</si>
  <si>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</si>
  <si>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</si>
  <si>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</si>
  <si>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</si>
  <si>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</si>
  <si>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</si>
  <si>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</si>
  <si>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</si>
  <si>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</si>
  <si>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</si>
  <si>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</si>
  <si>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</si>
  <si>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</si>
  <si>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</si>
  <si>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</si>
  <si>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</si>
  <si>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</si>
  <si>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</si>
  <si>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</si>
  <si>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</si>
  <si>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</si>
  <si>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</si>
  <si>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</si>
  <si>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</si>
  <si>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</si>
  <si>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</si>
  <si>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</si>
  <si>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</si>
  <si>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</si>
  <si>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</si>
  <si>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</si>
  <si>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</si>
  <si>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</si>
  <si>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</si>
  <si>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</si>
  <si>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</si>
  <si>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</si>
  <si>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</si>
  <si>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</si>
  <si>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</si>
  <si>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</si>
  <si>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</si>
  <si>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</si>
  <si>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</si>
  <si>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</si>
  <si>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</si>
  <si>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</si>
  <si>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</si>
  <si>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</si>
  <si>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</si>
  <si>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</si>
  <si>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</si>
  <si>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</si>
  <si>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</si>
  <si>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</si>
  <si>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</si>
  <si>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</si>
  <si>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</si>
  <si>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</si>
  <si>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</si>
  <si>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</si>
  <si>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</si>
  <si>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</si>
  <si>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</si>
  <si>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</si>
  <si>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</si>
  <si>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</si>
  <si>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</si>
  <si>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</si>
  <si>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</si>
  <si>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</si>
  <si>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</si>
  <si>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</si>
  <si>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</si>
  <si>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</si>
  <si>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</si>
  <si>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</si>
  <si>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</si>
  <si>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</si>
  <si>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</si>
  <si>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</si>
  <si>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</si>
  <si>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</si>
  <si>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</si>
  <si>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</si>
  <si>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</si>
  <si>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</si>
  <si>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</si>
  <si>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</si>
  <si>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</si>
  <si>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</si>
  <si>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</si>
  <si>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</si>
  <si>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</si>
  <si>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</si>
  <si>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</si>
  <si>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</si>
  <si>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</si>
  <si>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</si>
  <si>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</si>
  <si>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</si>
  <si>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</si>
  <si>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</si>
  <si>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</si>
  <si>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</si>
  <si>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</si>
  <si>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</si>
  <si>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</si>
  <si>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</si>
  <si>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</si>
  <si>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</si>
  <si>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</si>
  <si>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</si>
  <si>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</si>
  <si>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</si>
  <si>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</si>
  <si>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</si>
  <si>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</si>
  <si>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</si>
  <si>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</si>
  <si>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</si>
  <si>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</si>
  <si>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</si>
  <si>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</si>
  <si>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</si>
  <si>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</si>
  <si>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</si>
  <si>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</si>
  <si>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</si>
  <si>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</si>
  <si>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</si>
  <si>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</si>
  <si>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</si>
  <si>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</si>
  <si>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</si>
  <si>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</si>
  <si>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</si>
  <si>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</si>
  <si>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</si>
  <si>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</si>
  <si>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</si>
  <si>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</si>
  <si>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</si>
  <si>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</si>
  <si>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</si>
  <si>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</si>
  <si>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</si>
  <si>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</si>
  <si>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</si>
  <si>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</si>
  <si>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</si>
  <si>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</si>
  <si>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</si>
  <si>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</si>
  <si>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</si>
  <si>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</si>
  <si>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</si>
  <si>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</si>
  <si>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</si>
  <si>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</si>
  <si>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</si>
  <si>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</si>
  <si>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</si>
  <si>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</si>
  <si>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</si>
  <si>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</si>
  <si>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</si>
  <si>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</si>
  <si>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</si>
  <si>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</si>
  <si>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</si>
  <si>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</si>
  <si>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</si>
  <si>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</si>
  <si>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</si>
  <si>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</si>
  <si>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</si>
  <si>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</si>
  <si>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</si>
  <si>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</si>
  <si>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</si>
  <si>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</si>
  <si>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</si>
  <si>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</si>
  <si>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</si>
  <si>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</si>
  <si>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</si>
  <si>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</si>
  <si>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</si>
  <si>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</si>
  <si>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</si>
  <si>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</si>
  <si>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</si>
  <si>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</si>
  <si>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</si>
  <si>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</si>
  <si>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</si>
  <si>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</si>
  <si>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</si>
  <si>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</si>
  <si>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</si>
  <si>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</si>
  <si>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</si>
  <si>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</si>
  <si>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</si>
  <si>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</si>
  <si>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</si>
  <si>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</si>
  <si>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</si>
  <si>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</si>
  <si>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</si>
  <si>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</si>
  <si>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</si>
  <si>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</si>
  <si>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</si>
  <si>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</si>
  <si>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</si>
  <si>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</si>
  <si>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</si>
  <si>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</si>
  <si>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</si>
  <si>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</si>
  <si>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</si>
  <si>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</si>
  <si>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</si>
  <si>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</si>
  <si>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</si>
  <si>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</si>
  <si>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</si>
  <si>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</si>
  <si>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</si>
  <si>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</si>
  <si>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</si>
  <si>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</si>
  <si>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</si>
  <si>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</si>
  <si>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</si>
  <si>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</si>
  <si>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</si>
  <si>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</si>
  <si>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</si>
  <si>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</si>
  <si>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</si>
  <si>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</si>
  <si>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</si>
  <si>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</si>
  <si>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</si>
  <si>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</si>
  <si>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</si>
  <si>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</si>
  <si>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</si>
  <si>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</si>
  <si>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</si>
  <si>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</si>
  <si>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</si>
  <si>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</si>
  <si>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</si>
  <si>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</si>
  <si>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</si>
  <si>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</si>
  <si>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</si>
  <si>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</si>
  <si>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</si>
  <si>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</si>
  <si>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</si>
  <si>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</si>
  <si>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</si>
  <si>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</si>
  <si>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</si>
  <si>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</si>
  <si>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</si>
  <si>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</si>
  <si>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</si>
  <si>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</si>
  <si>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</si>
  <si>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</si>
  <si>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</si>
  <si>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</si>
  <si>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</si>
  <si>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</si>
  <si>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</si>
  <si>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</si>
  <si>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</si>
  <si>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</si>
  <si>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</si>
  <si>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</si>
  <si>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</si>
  <si>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</si>
  <si>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</si>
  <si>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</si>
  <si>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</si>
  <si>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</si>
  <si>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</si>
  <si>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</si>
  <si>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</si>
  <si>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</si>
  <si>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</si>
  <si>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</si>
  <si>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</si>
  <si>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</si>
  <si>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</si>
  <si>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</si>
  <si>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</si>
  <si>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</si>
  <si>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</si>
  <si>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</si>
  <si>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</si>
  <si>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</si>
  <si>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</si>
  <si>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</si>
  <si>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</si>
  <si>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</si>
  <si>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</si>
  <si>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</si>
  <si>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</si>
  <si>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</si>
  <si>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</si>
  <si>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</si>
  <si>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</si>
  <si>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</si>
  <si>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</si>
  <si>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</si>
  <si>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</si>
  <si>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</si>
  <si>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</si>
  <si>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</si>
  <si>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</si>
  <si>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</si>
  <si>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</si>
  <si>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</si>
  <si>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</si>
  <si>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</si>
  <si>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</si>
  <si>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</si>
  <si>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</si>
  <si>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</si>
  <si>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</si>
  <si>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</si>
  <si>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</si>
  <si>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</si>
  <si>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</si>
  <si>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</si>
  <si>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</si>
  <si>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</si>
  <si>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</si>
  <si>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</si>
  <si>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</si>
  <si>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</si>
  <si>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</si>
  <si>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</si>
  <si>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</si>
  <si>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</si>
  <si>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</si>
  <si>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</si>
  <si>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</si>
  <si>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</si>
  <si>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</si>
  <si>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</si>
  <si>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</si>
  <si>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</si>
  <si>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</si>
  <si>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</si>
  <si>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</si>
  <si>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</si>
  <si>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</si>
  <si>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</si>
  <si>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</si>
  <si>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</si>
  <si>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</si>
  <si>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</si>
  <si>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</si>
  <si>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</si>
  <si>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</si>
  <si>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</si>
  <si>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</si>
  <si>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</si>
  <si>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</si>
  <si>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</si>
  <si>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</si>
  <si>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</si>
  <si>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</si>
  <si>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</si>
  <si>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</si>
  <si>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</si>
  <si>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</si>
  <si>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</si>
  <si>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</si>
  <si>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</si>
  <si>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</si>
  <si>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</si>
  <si>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</si>
  <si>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</si>
  <si>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</si>
  <si>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</si>
  <si>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</si>
  <si>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</si>
  <si>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</si>
  <si>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</si>
  <si>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</si>
  <si>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</si>
  <si>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</si>
  <si>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</si>
  <si>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</si>
  <si>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</si>
  <si>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</si>
  <si>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</si>
  <si>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</si>
  <si>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</si>
  <si>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</si>
  <si>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</si>
  <si>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</si>
  <si>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</si>
  <si>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</si>
  <si>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</si>
  <si>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</si>
  <si>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</si>
  <si>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</si>
  <si>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</si>
  <si>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</si>
  <si>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</si>
  <si>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</si>
  <si>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</si>
  <si>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</si>
  <si>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</si>
  <si>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</si>
  <si>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</si>
  <si>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</si>
  <si>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</si>
  <si>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</si>
  <si>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</si>
  <si>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</si>
  <si>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</si>
  <si>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</si>
  <si>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</si>
  <si>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</si>
  <si>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</si>
  <si>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</si>
  <si>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</si>
  <si>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</si>
  <si>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</si>
  <si>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</si>
  <si>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</si>
  <si>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</si>
  <si>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</si>
  <si>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</si>
  <si>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</si>
  <si>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</si>
  <si>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</si>
  <si>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</si>
  <si>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</si>
  <si>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</si>
  <si>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</si>
  <si>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</si>
  <si>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</si>
  <si>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</si>
  <si>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</si>
  <si>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</si>
  <si>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</si>
  <si>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</si>
  <si>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</si>
  <si>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</si>
  <si>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</si>
  <si>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</si>
  <si>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</si>
  <si>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</si>
  <si>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</si>
  <si>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</si>
  <si>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</si>
  <si>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</si>
  <si>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</si>
  <si>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</si>
  <si>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</si>
  <si>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</si>
  <si>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</si>
  <si>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</si>
  <si>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</si>
  <si>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</si>
  <si>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</si>
  <si>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</si>
  <si>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</si>
  <si>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</si>
  <si>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</si>
  <si>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</si>
  <si>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</si>
  <si>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</si>
  <si>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</si>
  <si>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</si>
  <si>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</si>
  <si>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</si>
  <si>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</si>
  <si>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</si>
  <si>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</si>
  <si>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</si>
  <si>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</si>
  <si>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</si>
  <si>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</si>
  <si>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</si>
  <si>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</si>
  <si>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</si>
  <si>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</si>
  <si>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</si>
  <si>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</si>
  <si>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</si>
  <si>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</si>
  <si>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</si>
  <si>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</si>
  <si>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</si>
  <si>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</si>
  <si>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</si>
  <si>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</si>
  <si>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</si>
  <si>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</si>
  <si>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</si>
  <si>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</si>
  <si>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</si>
  <si>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</si>
  <si>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</si>
  <si>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</si>
  <si>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</si>
  <si>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</si>
  <si>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</si>
  <si>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</si>
  <si>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</si>
  <si>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</si>
  <si>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</si>
  <si>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</si>
  <si>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</si>
  <si>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</si>
  <si>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</si>
  <si>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</si>
  <si>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</si>
  <si>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</si>
  <si>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</si>
  <si>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</si>
  <si>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</si>
  <si>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</si>
  <si>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</si>
  <si>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</si>
  <si>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</si>
  <si>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</si>
  <si>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</si>
  <si>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</si>
  <si>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</si>
  <si>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</si>
  <si>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</si>
  <si>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</si>
  <si>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</si>
  <si>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</si>
  <si>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</si>
  <si>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</si>
  <si>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</si>
  <si>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</si>
  <si>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</si>
  <si>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</si>
  <si>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</si>
  <si>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</si>
  <si>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</si>
  <si>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</si>
  <si>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</si>
  <si>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</si>
  <si>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</si>
  <si>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</si>
  <si>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</si>
  <si>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</si>
  <si>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</si>
  <si>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</si>
  <si>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</si>
  <si>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</si>
  <si>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</si>
  <si>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</si>
  <si>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</si>
  <si>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</si>
  <si>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</si>
  <si>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</si>
  <si>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</si>
  <si>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</si>
  <si>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</si>
  <si>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</si>
  <si>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</si>
  <si>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</si>
  <si>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</si>
  <si>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</si>
  <si>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</si>
  <si>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</si>
  <si>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</si>
  <si>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</si>
  <si>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</si>
  <si>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</si>
  <si>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</si>
  <si>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</si>
  <si>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</si>
  <si>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</si>
  <si>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</si>
  <si>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</si>
  <si>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</si>
  <si>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</si>
  <si>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</si>
  <si>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</si>
  <si>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</si>
  <si>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</si>
  <si>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</si>
  <si>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</si>
  <si>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</si>
  <si>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</si>
  <si>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</si>
  <si>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</si>
  <si>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</si>
  <si>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</si>
  <si>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</si>
  <si>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</si>
  <si>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</si>
  <si>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</si>
  <si>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</si>
  <si>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</si>
  <si>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</si>
  <si>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</si>
  <si>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</si>
  <si>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</si>
  <si>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</si>
  <si>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Grand Total</t>
  </si>
  <si>
    <t>Sum of Total Amount</t>
  </si>
  <si>
    <t>18-27</t>
  </si>
  <si>
    <t>28-37</t>
  </si>
  <si>
    <t>38-47</t>
  </si>
  <si>
    <t>48-57</t>
  </si>
  <si>
    <t>58-67</t>
  </si>
  <si>
    <t>Sales by Product Category</t>
  </si>
  <si>
    <t>Sales by Gender</t>
  </si>
  <si>
    <t>Monthly Sales Trend</t>
  </si>
  <si>
    <t>Age Group Analysis</t>
  </si>
  <si>
    <t>Total Sales</t>
  </si>
  <si>
    <t>Total Transactions</t>
  </si>
  <si>
    <t>Average Order</t>
  </si>
  <si>
    <t>Total Quantity Sold</t>
  </si>
  <si>
    <t>Sales Data Analysis Dashboard</t>
  </si>
  <si>
    <r>
      <t xml:space="preserve">✓ Total sales revenue reached </t>
    </r>
    <r>
      <rPr>
        <b/>
        <sz val="11"/>
        <color theme="1"/>
        <rFont val="Calibri"/>
        <family val="2"/>
        <scheme val="minor"/>
      </rPr>
      <t>$456,000</t>
    </r>
    <r>
      <rPr>
        <sz val="11"/>
        <color theme="1"/>
        <rFont val="Calibri"/>
        <family val="2"/>
        <scheme val="minor"/>
      </rPr>
      <t xml:space="preserve"> across all transactions.</t>
    </r>
  </si>
  <si>
    <r>
      <t xml:space="preserve">✓ 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 xml:space="preserve"> was the top-performing product category, generating </t>
    </r>
    <r>
      <rPr>
        <b/>
        <sz val="11"/>
        <color theme="1"/>
        <rFont val="Calibri"/>
        <family val="2"/>
        <scheme val="minor"/>
      </rPr>
      <t>$156,905</t>
    </r>
    <r>
      <rPr>
        <sz val="11"/>
        <color theme="1"/>
        <rFont val="Calibri"/>
        <family val="2"/>
        <scheme val="minor"/>
      </rPr>
      <t xml:space="preserve"> (34.4% of total revenue), followed closely by Clothing at </t>
    </r>
    <r>
      <rPr>
        <b/>
        <sz val="11"/>
        <color theme="1"/>
        <rFont val="Calibri"/>
        <family val="2"/>
        <scheme val="minor"/>
      </rPr>
      <t>$155,580</t>
    </r>
    <r>
      <rPr>
        <sz val="11"/>
        <color theme="1"/>
        <rFont val="Calibri"/>
        <family val="2"/>
        <scheme val="minor"/>
      </rPr>
      <t>.</t>
    </r>
  </si>
  <si>
    <r>
      <t xml:space="preserve">✓ </t>
    </r>
    <r>
      <rPr>
        <b/>
        <sz val="11"/>
        <color theme="1"/>
        <rFont val="Calibri"/>
        <family val="2"/>
        <scheme val="minor"/>
      </rPr>
      <t>Female customers</t>
    </r>
    <r>
      <rPr>
        <sz val="11"/>
        <color theme="1"/>
        <rFont val="Calibri"/>
        <family val="2"/>
        <scheme val="minor"/>
      </rPr>
      <t xml:space="preserve"> contributed slightly higher revenue (</t>
    </r>
    <r>
      <rPr>
        <b/>
        <sz val="11"/>
        <color theme="1"/>
        <rFont val="Calibri"/>
        <family val="2"/>
        <scheme val="minor"/>
      </rPr>
      <t>$232,840</t>
    </r>
    <r>
      <rPr>
        <sz val="11"/>
        <color theme="1"/>
        <rFont val="Calibri"/>
        <family val="2"/>
        <scheme val="minor"/>
      </rPr>
      <t>) compared to male customers (</t>
    </r>
    <r>
      <rPr>
        <b/>
        <sz val="11"/>
        <color theme="1"/>
        <rFont val="Calibri"/>
        <family val="2"/>
        <scheme val="minor"/>
      </rPr>
      <t>$223,160</t>
    </r>
    <r>
      <rPr>
        <sz val="11"/>
        <color theme="1"/>
        <rFont val="Calibri"/>
        <family val="2"/>
        <scheme val="minor"/>
      </rPr>
      <t>), showing balanced purchasing activity across genders.</t>
    </r>
  </si>
  <si>
    <r>
      <t xml:space="preserve">✓ Customers aged </t>
    </r>
    <r>
      <rPr>
        <b/>
        <sz val="11"/>
        <color theme="1"/>
        <rFont val="Calibri"/>
        <family val="2"/>
        <scheme val="minor"/>
      </rPr>
      <t>18–27</t>
    </r>
    <r>
      <rPr>
        <sz val="11"/>
        <color theme="1"/>
        <rFont val="Calibri"/>
        <family val="2"/>
        <scheme val="minor"/>
      </rPr>
      <t xml:space="preserve"> generated the highest revenue (</t>
    </r>
    <r>
      <rPr>
        <b/>
        <sz val="11"/>
        <color theme="1"/>
        <rFont val="Calibri"/>
        <family val="2"/>
        <scheme val="minor"/>
      </rPr>
      <t>$107,915</t>
    </r>
    <r>
      <rPr>
        <sz val="11"/>
        <color theme="1"/>
        <rFont val="Calibri"/>
        <family val="2"/>
        <scheme val="minor"/>
      </rPr>
      <t>), making them the most valuable customer age group.</t>
    </r>
  </si>
  <si>
    <t>✓ Sales patterns varied throughout the year, highlighting periods of higher and lower customer demand and supporting better sales planning.</t>
  </si>
  <si>
    <t>KEY INSIGHTS</t>
  </si>
  <si>
    <t>What is the total sales revenue?</t>
  </si>
  <si>
    <t>KPI Calculation</t>
  </si>
  <si>
    <t>Which product category generates the highest revenue?</t>
  </si>
  <si>
    <t>Which customer gender contributes more sales?</t>
  </si>
  <si>
    <t>Which age group has the highest purchasing activity?</t>
  </si>
  <si>
    <t>How do sales change over time?</t>
  </si>
  <si>
    <t>Monthly Sales Trend + Line Chart</t>
  </si>
  <si>
    <t>What are the top-performing transactions?</t>
  </si>
  <si>
    <t>Sales Data Analysis – Business Questions</t>
  </si>
  <si>
    <t>No.</t>
  </si>
  <si>
    <t>Business Question</t>
  </si>
  <si>
    <t>Sorting + Filtering</t>
  </si>
  <si>
    <t>Product Category Analysis + Column Chart</t>
  </si>
  <si>
    <t>Age Group Analysis + Bar Chart</t>
  </si>
  <si>
    <t>Gender Analysis + Pie Chart</t>
  </si>
  <si>
    <t>Analysis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</si>
</sst>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/>
    <xf numFmtId="0" fontId="19" fillId="0" borderId="0" xfId="0" applyFont="1" applyAlignment="1"/>
    <xf numFmtId="0" fontId="21" fillId="0" borderId="0" xfId="0" applyFont="1"/>
    <xf numFmtId="0" fontId="19" fillId="0" borderId="0" xfId="0" applyFont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9" fillId="0" borderId="0" xfId="0" applyFont="1" applyFill="1" applyBorder="1" applyAlignment="1"/>
    <xf numFmtId="0" fontId="19" fillId="33" borderId="17" xfId="0" applyFont="1" applyFill="1" applyBorder="1" applyAlignment="1">
      <alignment horizontal="center"/>
    </xf>
    <xf numFmtId="0" fontId="19" fillId="33" borderId="18" xfId="0" applyFont="1" applyFill="1" applyBorder="1" applyAlignment="1">
      <alignment horizontal="center"/>
    </xf>
    <xf numFmtId="0" fontId="19" fillId="33" borderId="19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22" fillId="33" borderId="14" xfId="0" applyFont="1" applyFill="1" applyBorder="1" applyAlignment="1">
      <alignment horizontal="center" wrapText="1"/>
    </xf>
    <xf numFmtId="0" fontId="22" fillId="33" borderId="15" xfId="0" applyFont="1" applyFill="1" applyBorder="1" applyAlignment="1">
      <alignment horizontal="center" wrapText="1"/>
    </xf>
    <xf numFmtId="0" fontId="22" fillId="33" borderId="16" xfId="0" applyFont="1" applyFill="1" applyBorder="1" applyAlignment="1">
      <alignment horizontal="center" wrapText="1"/>
    </xf>
    <xf numFmtId="0" fontId="0" fillId="34" borderId="10" xfId="0" applyFill="1" applyBorder="1"/>
    <xf numFmtId="0" fontId="0" fillId="35" borderId="10" xfId="0" applyFill="1" applyBorder="1"/>
    <xf numFmtId="0" fontId="0" fillId="37" borderId="10" xfId="0" applyFill="1" applyBorder="1"/>
    <xf numFmtId="0" fontId="0" fillId="38" borderId="10" xfId="0" applyFill="1" applyBorder="1"/>
    <xf numFmtId="0" fontId="0" fillId="39" borderId="10" xfId="0" applyFill="1" applyBorder="1"/>
    <xf numFmtId="0" fontId="20" fillId="34" borderId="10" xfId="0" applyFont="1" applyFill="1" applyBorder="1"/>
    <xf numFmtId="0" fontId="20" fillId="35" borderId="10" xfId="0" applyFont="1" applyFill="1" applyBorder="1"/>
    <xf numFmtId="0" fontId="20" fillId="36" borderId="10" xfId="0" applyFont="1" applyFill="1" applyBorder="1" applyAlignment="1">
      <alignment vertical="center"/>
    </xf>
    <xf numFmtId="0" fontId="20" fillId="37" borderId="10" xfId="0" applyFont="1" applyFill="1" applyBorder="1"/>
    <xf numFmtId="0" fontId="20" fillId="38" borderId="10" xfId="0" applyFont="1" applyFill="1" applyBorder="1"/>
    <xf numFmtId="0" fontId="20" fillId="39" borderId="10" xfId="0" applyFont="1" applyFill="1" applyBorder="1"/>
    <xf numFmtId="0" fontId="22" fillId="33" borderId="10" xfId="0" applyFont="1" applyFill="1" applyBorder="1" applyAlignment="1">
      <alignment horizontal="center"/>
    </xf>
    <xf numFmtId="0" fontId="0" fillId="36" borderId="10" xfId="0" applyFill="1" applyBorder="1"/>
    <xf numFmtId="0" fontId="0" fillId="34" borderId="10" xfId="0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0" fontId="0" fillId="36" borderId="10" xfId="0" applyFill="1" applyBorder="1" applyAlignment="1">
      <alignment horizontal="left"/>
    </xf>
    <xf numFmtId="0" fontId="0" fillId="37" borderId="10" xfId="0" applyFill="1" applyBorder="1" applyAlignment="1">
      <alignment horizontal="left"/>
    </xf>
    <xf numFmtId="0" fontId="0" fillId="38" borderId="10" xfId="0" applyFill="1" applyBorder="1" applyAlignment="1">
      <alignment horizontal="left"/>
    </xf>
    <xf numFmtId="0" fontId="0" fillId="39" borderId="10" xfId="0" applyFill="1" applyBorder="1" applyAlignment="1">
      <alignment horizontal="left"/>
    </xf>
    <xf numFmtId="0" fontId="18" fillId="40" borderId="10" xfId="0" applyFont="1" applyFill="1" applyBorder="1" applyAlignment="1"/>
    <xf numFmtId="0" fontId="18" fillId="40" borderId="10" xfId="0" applyFont="1" applyFill="1" applyBorder="1"/>
    <xf numFmtId="0" fontId="16" fillId="39" borderId="0" xfId="0" applyFont="1" applyFill="1" applyAlignment="1">
      <alignment horizontal="left"/>
    </xf>
    <xf numFmtId="0" fontId="16" fillId="39" borderId="0" xfId="0" applyFont="1" applyFill="1" applyAlignment="1">
      <alignment horizontal="left"/>
    </xf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Beauty</c:v>
              </c:pt>
              <c:pt idx="1">
                <c:v>Clothing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143515</c:v>
              </c:pt>
              <c:pt idx="1">
                <c:v>155580</c:v>
              </c:pt>
              <c:pt idx="2">
                <c:v>156905</c:v>
              </c:pt>
            </c:numLit>
          </c:val>
          <c:extLst>
            <c:ext xmlns:c16="http://schemas.microsoft.com/office/drawing/2014/chart" uri="{C3380CC4-5D6E-409C-BE32-E72D297353CC}">
              <c16:uniqueId val="{00000000-85B4-4892-A191-68642E9BD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9244367"/>
        <c:axId val="332190511"/>
      </c:barChart>
      <c:catAx>
        <c:axId val="32924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90511"/>
        <c:crosses val="autoZero"/>
        <c:auto val="1"/>
        <c:lblAlgn val="ctr"/>
        <c:lblOffset val="100"/>
        <c:noMultiLvlLbl val="0"/>
      </c:catAx>
      <c:valAx>
        <c:axId val="33219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24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Total 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1C-4344-A65C-7712FA41D5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1C-4344-A65C-7712FA41D5EF}"/>
              </c:ext>
            </c:extLst>
          </c:dPt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232840</c:v>
              </c:pt>
              <c:pt idx="1">
                <c:v>223160</c:v>
              </c:pt>
            </c:numLit>
          </c:val>
          <c:extLst>
            <c:ext xmlns:c16="http://schemas.microsoft.com/office/drawing/2014/chart" uri="{C3380CC4-5D6E-409C-BE32-E72D297353CC}">
              <c16:uniqueId val="{00000004-FE1C-4344-A65C-7712FA41D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45"/>
              <c:pt idx="0">
                <c:v>1/1/2023</c:v>
              </c:pt>
              <c:pt idx="1">
                <c:v>2/1/2023</c:v>
              </c:pt>
              <c:pt idx="2">
                <c:v>3/1/2023</c:v>
              </c:pt>
              <c:pt idx="3">
                <c:v>4/1/2023</c:v>
              </c:pt>
              <c:pt idx="4">
                <c:v>5/1/2023</c:v>
              </c:pt>
              <c:pt idx="5">
                <c:v>6/1/2023</c:v>
              </c:pt>
              <c:pt idx="6">
                <c:v>7/1/2023</c:v>
              </c:pt>
              <c:pt idx="7">
                <c:v>8/1/2023</c:v>
              </c:pt>
              <c:pt idx="8">
                <c:v>9/1/2023</c:v>
              </c:pt>
              <c:pt idx="9">
                <c:v>10/1/2023</c:v>
              </c:pt>
              <c:pt idx="10">
                <c:v>11/1/2023</c:v>
              </c:pt>
              <c:pt idx="11">
                <c:v>13/1/2023</c:v>
              </c:pt>
              <c:pt idx="12">
                <c:v>14/1/2023</c:v>
              </c:pt>
              <c:pt idx="13">
                <c:v>15/1/2023</c:v>
              </c:pt>
              <c:pt idx="14">
                <c:v>16/1/2023</c:v>
              </c:pt>
              <c:pt idx="15">
                <c:v>17/1/2023</c:v>
              </c:pt>
              <c:pt idx="16">
                <c:v>19/1/2023</c:v>
              </c:pt>
              <c:pt idx="17">
                <c:v>20/1/2023</c:v>
              </c:pt>
              <c:pt idx="18">
                <c:v>21/1/2023</c:v>
              </c:pt>
              <c:pt idx="19">
                <c:v>22/1/2023</c:v>
              </c:pt>
              <c:pt idx="20">
                <c:v>23/1/2023</c:v>
              </c:pt>
              <c:pt idx="21">
                <c:v>24/1/2023</c:v>
              </c:pt>
              <c:pt idx="22">
                <c:v>25/1/2023</c:v>
              </c:pt>
              <c:pt idx="23">
                <c:v>26/1/2023</c:v>
              </c:pt>
              <c:pt idx="24">
                <c:v>27/1/2023</c:v>
              </c:pt>
              <c:pt idx="25">
                <c:v>28/1/2023</c:v>
              </c:pt>
              <c:pt idx="26">
                <c:v>29/1/2023</c:v>
              </c:pt>
              <c:pt idx="27">
                <c:v>30/1/2023</c:v>
              </c:pt>
              <c:pt idx="28">
                <c:v>31/1/2023</c:v>
              </c:pt>
              <c:pt idx="29">
                <c:v>1/2/2023</c:v>
              </c:pt>
              <c:pt idx="30">
                <c:v>2/2/2023</c:v>
              </c:pt>
              <c:pt idx="31">
                <c:v>3/2/2023</c:v>
              </c:pt>
              <c:pt idx="32">
                <c:v>4/2/2023</c:v>
              </c:pt>
              <c:pt idx="33">
                <c:v>5/2/2023</c:v>
              </c:pt>
              <c:pt idx="34">
                <c:v>6/2/2023</c:v>
              </c:pt>
              <c:pt idx="35">
                <c:v>7/2/2023</c:v>
              </c:pt>
              <c:pt idx="36">
                <c:v>8/2/2023</c:v>
              </c:pt>
              <c:pt idx="37">
                <c:v>9/2/2023</c:v>
              </c:pt>
              <c:pt idx="38">
                <c:v>10/2/2023</c:v>
              </c:pt>
              <c:pt idx="39">
                <c:v>11/2/2023</c:v>
              </c:pt>
              <c:pt idx="40">
                <c:v>12/2/2023</c:v>
              </c:pt>
              <c:pt idx="41">
                <c:v>13/2/2023</c:v>
              </c:pt>
              <c:pt idx="42">
                <c:v>14/2/2023</c:v>
              </c:pt>
              <c:pt idx="43">
                <c:v>16/2/2023</c:v>
              </c:pt>
              <c:pt idx="44">
                <c:v>17/2/2023</c:v>
              </c:pt>
              <c:pt idx="45">
                <c:v>18/2/2023</c:v>
              </c:pt>
              <c:pt idx="46">
                <c:v>19/2/2023</c:v>
              </c:pt>
              <c:pt idx="47">
                <c:v>20/2/2023</c:v>
              </c:pt>
              <c:pt idx="48">
                <c:v>21/2/2023</c:v>
              </c:pt>
              <c:pt idx="49">
                <c:v>22/2/2023</c:v>
              </c:pt>
              <c:pt idx="50">
                <c:v>23/2/2023</c:v>
              </c:pt>
              <c:pt idx="51">
                <c:v>24/2/2023</c:v>
              </c:pt>
              <c:pt idx="52">
                <c:v>25/2/2023</c:v>
              </c:pt>
              <c:pt idx="53">
                <c:v>26/2/2023</c:v>
              </c:pt>
              <c:pt idx="54">
                <c:v>27/2/2023</c:v>
              </c:pt>
              <c:pt idx="55">
                <c:v>28/2/2023</c:v>
              </c:pt>
              <c:pt idx="56">
                <c:v>1/3/2023</c:v>
              </c:pt>
              <c:pt idx="57">
                <c:v>2/3/2023</c:v>
              </c:pt>
              <c:pt idx="58">
                <c:v>3/3/2023</c:v>
              </c:pt>
              <c:pt idx="59">
                <c:v>4/3/2023</c:v>
              </c:pt>
              <c:pt idx="60">
                <c:v>5/3/2023</c:v>
              </c:pt>
              <c:pt idx="61">
                <c:v>6/3/2023</c:v>
              </c:pt>
              <c:pt idx="62">
                <c:v>7/3/2023</c:v>
              </c:pt>
              <c:pt idx="63">
                <c:v>8/3/2023</c:v>
              </c:pt>
              <c:pt idx="64">
                <c:v>9/3/2023</c:v>
              </c:pt>
              <c:pt idx="65">
                <c:v>10/3/2023</c:v>
              </c:pt>
              <c:pt idx="66">
                <c:v>11/3/2023</c:v>
              </c:pt>
              <c:pt idx="67">
                <c:v>12/3/2023</c:v>
              </c:pt>
              <c:pt idx="68">
                <c:v>13/3/2023</c:v>
              </c:pt>
              <c:pt idx="69">
                <c:v>15/3/2023</c:v>
              </c:pt>
              <c:pt idx="70">
                <c:v>17/3/2023</c:v>
              </c:pt>
              <c:pt idx="71">
                <c:v>18/3/2023</c:v>
              </c:pt>
              <c:pt idx="72">
                <c:v>19/3/2023</c:v>
              </c:pt>
              <c:pt idx="73">
                <c:v>20/3/2023</c:v>
              </c:pt>
              <c:pt idx="74">
                <c:v>21/3/2023</c:v>
              </c:pt>
              <c:pt idx="75">
                <c:v>22/3/2023</c:v>
              </c:pt>
              <c:pt idx="76">
                <c:v>23/3/2023</c:v>
              </c:pt>
              <c:pt idx="77">
                <c:v>24/3/2023</c:v>
              </c:pt>
              <c:pt idx="78">
                <c:v>25/3/2023</c:v>
              </c:pt>
              <c:pt idx="79">
                <c:v>26/3/2023</c:v>
              </c:pt>
              <c:pt idx="80">
                <c:v>27/3/2023</c:v>
              </c:pt>
              <c:pt idx="81">
                <c:v>28/3/2023</c:v>
              </c:pt>
              <c:pt idx="82">
                <c:v>29/3/2023</c:v>
              </c:pt>
              <c:pt idx="83">
                <c:v>30/3/2023</c:v>
              </c:pt>
              <c:pt idx="84">
                <c:v>31/3/2023</c:v>
              </c:pt>
              <c:pt idx="85">
                <c:v>1/4/2023</c:v>
              </c:pt>
              <c:pt idx="86">
                <c:v>2/4/2023</c:v>
              </c:pt>
              <c:pt idx="87">
                <c:v>4/4/2023</c:v>
              </c:pt>
              <c:pt idx="88">
                <c:v>5/4/2023</c:v>
              </c:pt>
              <c:pt idx="89">
                <c:v>6/4/2023</c:v>
              </c:pt>
              <c:pt idx="90">
                <c:v>8/4/2023</c:v>
              </c:pt>
              <c:pt idx="91">
                <c:v>9/4/2023</c:v>
              </c:pt>
              <c:pt idx="92">
                <c:v>10/4/2023</c:v>
              </c:pt>
              <c:pt idx="93">
                <c:v>11/4/2023</c:v>
              </c:pt>
              <c:pt idx="94">
                <c:v>12/4/2023</c:v>
              </c:pt>
              <c:pt idx="95">
                <c:v>13/4/2023</c:v>
              </c:pt>
              <c:pt idx="96">
                <c:v>15/4/2023</c:v>
              </c:pt>
              <c:pt idx="97">
                <c:v>16/4/2023</c:v>
              </c:pt>
              <c:pt idx="98">
                <c:v>17/4/2023</c:v>
              </c:pt>
              <c:pt idx="99">
                <c:v>18/4/2023</c:v>
              </c:pt>
              <c:pt idx="100">
                <c:v>19/4/2023</c:v>
              </c:pt>
              <c:pt idx="101">
                <c:v>20/4/2023</c:v>
              </c:pt>
              <c:pt idx="102">
                <c:v>21/4/2023</c:v>
              </c:pt>
              <c:pt idx="103">
                <c:v>22/4/2023</c:v>
              </c:pt>
              <c:pt idx="104">
                <c:v>23/4/2023</c:v>
              </c:pt>
              <c:pt idx="105">
                <c:v>24/4/2023</c:v>
              </c:pt>
              <c:pt idx="106">
                <c:v>25/4/2023</c:v>
              </c:pt>
              <c:pt idx="107">
                <c:v>26/4/2023</c:v>
              </c:pt>
              <c:pt idx="108">
                <c:v>27/4/2023</c:v>
              </c:pt>
              <c:pt idx="109">
                <c:v>28/4/2023</c:v>
              </c:pt>
              <c:pt idx="110">
                <c:v>29/4/2023</c:v>
              </c:pt>
              <c:pt idx="111">
                <c:v>30/4/2023</c:v>
              </c:pt>
              <c:pt idx="112">
                <c:v>1/5/2023</c:v>
              </c:pt>
              <c:pt idx="113">
                <c:v>2/5/2023</c:v>
              </c:pt>
              <c:pt idx="114">
                <c:v>3/5/2023</c:v>
              </c:pt>
              <c:pt idx="115">
                <c:v>4/5/2023</c:v>
              </c:pt>
              <c:pt idx="116">
                <c:v>5/5/2023</c:v>
              </c:pt>
              <c:pt idx="117">
                <c:v>6/5/2023</c:v>
              </c:pt>
              <c:pt idx="118">
                <c:v>7/5/2023</c:v>
              </c:pt>
              <c:pt idx="119">
                <c:v>8/5/2023</c:v>
              </c:pt>
              <c:pt idx="120">
                <c:v>9/5/2023</c:v>
              </c:pt>
              <c:pt idx="121">
                <c:v>10/5/2023</c:v>
              </c:pt>
              <c:pt idx="122">
                <c:v>11/5/2023</c:v>
              </c:pt>
              <c:pt idx="123">
                <c:v>12/5/2023</c:v>
              </c:pt>
              <c:pt idx="124">
                <c:v>13/5/2023</c:v>
              </c:pt>
              <c:pt idx="125">
                <c:v>14/5/2023</c:v>
              </c:pt>
              <c:pt idx="126">
                <c:v>15/5/2023</c:v>
              </c:pt>
              <c:pt idx="127">
                <c:v>16/5/2023</c:v>
              </c:pt>
              <c:pt idx="128">
                <c:v>17/5/2023</c:v>
              </c:pt>
              <c:pt idx="129">
                <c:v>18/5/2023</c:v>
              </c:pt>
              <c:pt idx="130">
                <c:v>19/5/2023</c:v>
              </c:pt>
              <c:pt idx="131">
                <c:v>20/5/2023</c:v>
              </c:pt>
              <c:pt idx="132">
                <c:v>21/5/2023</c:v>
              </c:pt>
              <c:pt idx="133">
                <c:v>22/5/2023</c:v>
              </c:pt>
              <c:pt idx="134">
                <c:v>23/5/2023</c:v>
              </c:pt>
              <c:pt idx="135">
                <c:v>24/5/2023</c:v>
              </c:pt>
              <c:pt idx="136">
                <c:v>25/5/2023</c:v>
              </c:pt>
              <c:pt idx="137">
                <c:v>26/5/2023</c:v>
              </c:pt>
              <c:pt idx="138">
                <c:v>27/5/2023</c:v>
              </c:pt>
              <c:pt idx="139">
                <c:v>28/5/2023</c:v>
              </c:pt>
              <c:pt idx="140">
                <c:v>29/5/2023</c:v>
              </c:pt>
              <c:pt idx="141">
                <c:v>30/5/2023</c:v>
              </c:pt>
              <c:pt idx="142">
                <c:v>31/5/2023</c:v>
              </c:pt>
              <c:pt idx="143">
                <c:v>1/6/2023</c:v>
              </c:pt>
              <c:pt idx="144">
                <c:v>2/6/2023</c:v>
              </c:pt>
              <c:pt idx="145">
                <c:v>3/6/2023</c:v>
              </c:pt>
              <c:pt idx="146">
                <c:v>4/6/2023</c:v>
              </c:pt>
              <c:pt idx="147">
                <c:v>5/6/2023</c:v>
              </c:pt>
              <c:pt idx="148">
                <c:v>6/6/2023</c:v>
              </c:pt>
              <c:pt idx="149">
                <c:v>7/6/2023</c:v>
              </c:pt>
              <c:pt idx="150">
                <c:v>8/6/2023</c:v>
              </c:pt>
              <c:pt idx="151">
                <c:v>9/6/2023</c:v>
              </c:pt>
              <c:pt idx="152">
                <c:v>10/6/2023</c:v>
              </c:pt>
              <c:pt idx="153">
                <c:v>11/6/2023</c:v>
              </c:pt>
              <c:pt idx="154">
                <c:v>12/6/2023</c:v>
              </c:pt>
              <c:pt idx="155">
                <c:v>13/6/2023</c:v>
              </c:pt>
              <c:pt idx="156">
                <c:v>14/6/2023</c:v>
              </c:pt>
              <c:pt idx="157">
                <c:v>15/6/2023</c:v>
              </c:pt>
              <c:pt idx="158">
                <c:v>16/6/2023</c:v>
              </c:pt>
              <c:pt idx="159">
                <c:v>17/6/2023</c:v>
              </c:pt>
              <c:pt idx="160">
                <c:v>18/6/2023</c:v>
              </c:pt>
              <c:pt idx="161">
                <c:v>19/6/2023</c:v>
              </c:pt>
              <c:pt idx="162">
                <c:v>20/6/2023</c:v>
              </c:pt>
              <c:pt idx="163">
                <c:v>21/6/2023</c:v>
              </c:pt>
              <c:pt idx="164">
                <c:v>22/6/2023</c:v>
              </c:pt>
              <c:pt idx="165">
                <c:v>23/6/2023</c:v>
              </c:pt>
              <c:pt idx="166">
                <c:v>24/6/2023</c:v>
              </c:pt>
              <c:pt idx="167">
                <c:v>25/6/2023</c:v>
              </c:pt>
              <c:pt idx="168">
                <c:v>26/6/2023</c:v>
              </c:pt>
              <c:pt idx="169">
                <c:v>27/6/2023</c:v>
              </c:pt>
              <c:pt idx="170">
                <c:v>28/6/2023</c:v>
              </c:pt>
              <c:pt idx="171">
                <c:v>29/6/2023</c:v>
              </c:pt>
              <c:pt idx="172">
                <c:v>30/6/2023</c:v>
              </c:pt>
              <c:pt idx="173">
                <c:v>1/7/2023</c:v>
              </c:pt>
              <c:pt idx="174">
                <c:v>3/7/2023</c:v>
              </c:pt>
              <c:pt idx="175">
                <c:v>4/7/2023</c:v>
              </c:pt>
              <c:pt idx="176">
                <c:v>5/7/2023</c:v>
              </c:pt>
              <c:pt idx="177">
                <c:v>6/7/2023</c:v>
              </c:pt>
              <c:pt idx="178">
                <c:v>8/7/2023</c:v>
              </c:pt>
              <c:pt idx="179">
                <c:v>9/7/2023</c:v>
              </c:pt>
              <c:pt idx="180">
                <c:v>11/7/2023</c:v>
              </c:pt>
              <c:pt idx="181">
                <c:v>12/7/2023</c:v>
              </c:pt>
              <c:pt idx="182">
                <c:v>13/7/2023</c:v>
              </c:pt>
              <c:pt idx="183">
                <c:v>14/7/2023</c:v>
              </c:pt>
              <c:pt idx="184">
                <c:v>15/7/2023</c:v>
              </c:pt>
              <c:pt idx="185">
                <c:v>16/7/2023</c:v>
              </c:pt>
              <c:pt idx="186">
                <c:v>17/7/2023</c:v>
              </c:pt>
              <c:pt idx="187">
                <c:v>19/7/2023</c:v>
              </c:pt>
              <c:pt idx="188">
                <c:v>21/7/2023</c:v>
              </c:pt>
              <c:pt idx="189">
                <c:v>22/7/2023</c:v>
              </c:pt>
              <c:pt idx="190">
                <c:v>23/7/2023</c:v>
              </c:pt>
              <c:pt idx="191">
                <c:v>24/7/2023</c:v>
              </c:pt>
              <c:pt idx="192">
                <c:v>25/7/2023</c:v>
              </c:pt>
              <c:pt idx="193">
                <c:v>26/7/2023</c:v>
              </c:pt>
              <c:pt idx="194">
                <c:v>27/7/2023</c:v>
              </c:pt>
              <c:pt idx="195">
                <c:v>28/7/2023</c:v>
              </c:pt>
              <c:pt idx="196">
                <c:v>29/7/2023</c:v>
              </c:pt>
              <c:pt idx="197">
                <c:v>30/7/2023</c:v>
              </c:pt>
              <c:pt idx="198">
                <c:v>31/7/2023</c:v>
              </c:pt>
              <c:pt idx="199">
                <c:v>1/8/2023</c:v>
              </c:pt>
              <c:pt idx="200">
                <c:v>2/8/2023</c:v>
              </c:pt>
              <c:pt idx="201">
                <c:v>3/8/2023</c:v>
              </c:pt>
              <c:pt idx="202">
                <c:v>4/8/2023</c:v>
              </c:pt>
              <c:pt idx="203">
                <c:v>5/8/2023</c:v>
              </c:pt>
              <c:pt idx="204">
                <c:v>6/8/2023</c:v>
              </c:pt>
              <c:pt idx="205">
                <c:v>7/8/2023</c:v>
              </c:pt>
              <c:pt idx="206">
                <c:v>8/8/2023</c:v>
              </c:pt>
              <c:pt idx="207">
                <c:v>9/8/2023</c:v>
              </c:pt>
              <c:pt idx="208">
                <c:v>10/8/2023</c:v>
              </c:pt>
              <c:pt idx="209">
                <c:v>11/8/2023</c:v>
              </c:pt>
              <c:pt idx="210">
                <c:v>12/8/2023</c:v>
              </c:pt>
              <c:pt idx="211">
                <c:v>13/8/2023</c:v>
              </c:pt>
              <c:pt idx="212">
                <c:v>14/8/2023</c:v>
              </c:pt>
              <c:pt idx="213">
                <c:v>15/8/2023</c:v>
              </c:pt>
              <c:pt idx="214">
                <c:v>17/8/2023</c:v>
              </c:pt>
              <c:pt idx="215">
                <c:v>18/8/2023</c:v>
              </c:pt>
              <c:pt idx="216">
                <c:v>19/8/2023</c:v>
              </c:pt>
              <c:pt idx="217">
                <c:v>20/8/2023</c:v>
              </c:pt>
              <c:pt idx="218">
                <c:v>21/8/2023</c:v>
              </c:pt>
              <c:pt idx="219">
                <c:v>22/8/2023</c:v>
              </c:pt>
              <c:pt idx="220">
                <c:v>23/8/2023</c:v>
              </c:pt>
              <c:pt idx="221">
                <c:v>24/8/2023</c:v>
              </c:pt>
              <c:pt idx="222">
                <c:v>25/8/2023</c:v>
              </c:pt>
              <c:pt idx="223">
                <c:v>26/8/2023</c:v>
              </c:pt>
              <c:pt idx="224">
                <c:v>27/8/2023</c:v>
              </c:pt>
              <c:pt idx="225">
                <c:v>28/8/2023</c:v>
              </c:pt>
              <c:pt idx="226">
                <c:v>29/8/2023</c:v>
              </c:pt>
              <c:pt idx="227">
                <c:v>31/8/2023</c:v>
              </c:pt>
              <c:pt idx="228">
                <c:v>1/9/2023</c:v>
              </c:pt>
              <c:pt idx="229">
                <c:v>2/9/2023</c:v>
              </c:pt>
              <c:pt idx="230">
                <c:v>3/9/2023</c:v>
              </c:pt>
              <c:pt idx="231">
                <c:v>4/9/2023</c:v>
              </c:pt>
              <c:pt idx="232">
                <c:v>5/9/2023</c:v>
              </c:pt>
              <c:pt idx="233">
                <c:v>6/9/2023</c:v>
              </c:pt>
              <c:pt idx="234">
                <c:v>7/9/2023</c:v>
              </c:pt>
              <c:pt idx="235">
                <c:v>8/9/2023</c:v>
              </c:pt>
              <c:pt idx="236">
                <c:v>9/9/2023</c:v>
              </c:pt>
              <c:pt idx="237">
                <c:v>10/9/2023</c:v>
              </c:pt>
              <c:pt idx="238">
                <c:v>11/9/2023</c:v>
              </c:pt>
              <c:pt idx="239">
                <c:v>13/9/2023</c:v>
              </c:pt>
              <c:pt idx="240">
                <c:v>14/9/2023</c:v>
              </c:pt>
              <c:pt idx="241">
                <c:v>15/9/2023</c:v>
              </c:pt>
              <c:pt idx="242">
                <c:v>16/9/2023</c:v>
              </c:pt>
              <c:pt idx="243">
                <c:v>17/9/2023</c:v>
              </c:pt>
              <c:pt idx="244">
                <c:v>18/9/2023</c:v>
              </c:pt>
              <c:pt idx="245">
                <c:v>19/9/2023</c:v>
              </c:pt>
              <c:pt idx="246">
                <c:v>21/9/2023</c:v>
              </c:pt>
              <c:pt idx="247">
                <c:v>22/9/2023</c:v>
              </c:pt>
              <c:pt idx="248">
                <c:v>23/9/2023</c:v>
              </c:pt>
              <c:pt idx="249">
                <c:v>24/9/2023</c:v>
              </c:pt>
              <c:pt idx="250">
                <c:v>25/9/2023</c:v>
              </c:pt>
              <c:pt idx="251">
                <c:v>26/9/2023</c:v>
              </c:pt>
              <c:pt idx="252">
                <c:v>28/9/2023</c:v>
              </c:pt>
              <c:pt idx="253">
                <c:v>29/9/2023</c:v>
              </c:pt>
              <c:pt idx="254">
                <c:v>30/9/2023</c:v>
              </c:pt>
              <c:pt idx="255">
                <c:v>1/10/2023</c:v>
              </c:pt>
              <c:pt idx="256">
                <c:v>2/10/2023</c:v>
              </c:pt>
              <c:pt idx="257">
                <c:v>3/10/2023</c:v>
              </c:pt>
              <c:pt idx="258">
                <c:v>4/10/2023</c:v>
              </c:pt>
              <c:pt idx="259">
                <c:v>5/10/2023</c:v>
              </c:pt>
              <c:pt idx="260">
                <c:v>6/10/2023</c:v>
              </c:pt>
              <c:pt idx="261">
                <c:v>7/10/2023</c:v>
              </c:pt>
              <c:pt idx="262">
                <c:v>8/10/2023</c:v>
              </c:pt>
              <c:pt idx="263">
                <c:v>9/10/2023</c:v>
              </c:pt>
              <c:pt idx="264">
                <c:v>10/10/2023</c:v>
              </c:pt>
              <c:pt idx="265">
                <c:v>11/10/2023</c:v>
              </c:pt>
              <c:pt idx="266">
                <c:v>12/10/2023</c:v>
              </c:pt>
              <c:pt idx="267">
                <c:v>13/10/2023</c:v>
              </c:pt>
              <c:pt idx="268">
                <c:v>14/10/2023</c:v>
              </c:pt>
              <c:pt idx="269">
                <c:v>15/10/2023</c:v>
              </c:pt>
              <c:pt idx="270">
                <c:v>16/10/2023</c:v>
              </c:pt>
              <c:pt idx="271">
                <c:v>17/10/2023</c:v>
              </c:pt>
              <c:pt idx="272">
                <c:v>18/10/2023</c:v>
              </c:pt>
              <c:pt idx="273">
                <c:v>19/10/2023</c:v>
              </c:pt>
              <c:pt idx="274">
                <c:v>20/10/2023</c:v>
              </c:pt>
              <c:pt idx="275">
                <c:v>21/10/2023</c:v>
              </c:pt>
              <c:pt idx="276">
                <c:v>22/10/2023</c:v>
              </c:pt>
              <c:pt idx="277">
                <c:v>23/10/2023</c:v>
              </c:pt>
              <c:pt idx="278">
                <c:v>24/10/2023</c:v>
              </c:pt>
              <c:pt idx="279">
                <c:v>25/10/2023</c:v>
              </c:pt>
              <c:pt idx="280">
                <c:v>26/10/2023</c:v>
              </c:pt>
              <c:pt idx="281">
                <c:v>27/10/2023</c:v>
              </c:pt>
              <c:pt idx="282">
                <c:v>29/10/2023</c:v>
              </c:pt>
              <c:pt idx="283">
                <c:v>30/10/2023</c:v>
              </c:pt>
              <c:pt idx="284">
                <c:v>31/10/2023</c:v>
              </c:pt>
              <c:pt idx="285">
                <c:v>1/11/2023</c:v>
              </c:pt>
              <c:pt idx="286">
                <c:v>2/11/2023</c:v>
              </c:pt>
              <c:pt idx="287">
                <c:v>3/11/2023</c:v>
              </c:pt>
              <c:pt idx="288">
                <c:v>4/11/2023</c:v>
              </c:pt>
              <c:pt idx="289">
                <c:v>5/11/2023</c:v>
              </c:pt>
              <c:pt idx="290">
                <c:v>6/11/2023</c:v>
              </c:pt>
              <c:pt idx="291">
                <c:v>7/11/2023</c:v>
              </c:pt>
              <c:pt idx="292">
                <c:v>8/11/2023</c:v>
              </c:pt>
              <c:pt idx="293">
                <c:v>9/11/2023</c:v>
              </c:pt>
              <c:pt idx="294">
                <c:v>10/11/2023</c:v>
              </c:pt>
              <c:pt idx="295">
                <c:v>12/11/2023</c:v>
              </c:pt>
              <c:pt idx="296">
                <c:v>13/11/2023</c:v>
              </c:pt>
              <c:pt idx="297">
                <c:v>14/11/2023</c:v>
              </c:pt>
              <c:pt idx="298">
                <c:v>15/11/2023</c:v>
              </c:pt>
              <c:pt idx="299">
                <c:v>16/11/2023</c:v>
              </c:pt>
              <c:pt idx="300">
                <c:v>17/11/2023</c:v>
              </c:pt>
              <c:pt idx="301">
                <c:v>18/11/2023</c:v>
              </c:pt>
              <c:pt idx="302">
                <c:v>19/11/2023</c:v>
              </c:pt>
              <c:pt idx="303">
                <c:v>20/11/2023</c:v>
              </c:pt>
              <c:pt idx="304">
                <c:v>21/11/2023</c:v>
              </c:pt>
              <c:pt idx="305">
                <c:v>22/11/2023</c:v>
              </c:pt>
              <c:pt idx="306">
                <c:v>23/11/2023</c:v>
              </c:pt>
              <c:pt idx="307">
                <c:v>24/11/2023</c:v>
              </c:pt>
              <c:pt idx="308">
                <c:v>25/11/2023</c:v>
              </c:pt>
              <c:pt idx="309">
                <c:v>26/11/2023</c:v>
              </c:pt>
              <c:pt idx="310">
                <c:v>27/11/2023</c:v>
              </c:pt>
              <c:pt idx="311">
                <c:v>28/11/2023</c:v>
              </c:pt>
              <c:pt idx="312">
                <c:v>29/11/2023</c:v>
              </c:pt>
              <c:pt idx="313">
                <c:v>30/11/2023</c:v>
              </c:pt>
              <c:pt idx="314">
                <c:v>1/12/2023</c:v>
              </c:pt>
              <c:pt idx="315">
                <c:v>2/12/2023</c:v>
              </c:pt>
              <c:pt idx="316">
                <c:v>3/12/2023</c:v>
              </c:pt>
              <c:pt idx="317">
                <c:v>4/12/2023</c:v>
              </c:pt>
              <c:pt idx="318">
                <c:v>5/12/2023</c:v>
              </c:pt>
              <c:pt idx="319">
                <c:v>6/12/2023</c:v>
              </c:pt>
              <c:pt idx="320">
                <c:v>7/12/2023</c:v>
              </c:pt>
              <c:pt idx="321">
                <c:v>8/12/2023</c:v>
              </c:pt>
              <c:pt idx="322">
                <c:v>9/12/2023</c:v>
              </c:pt>
              <c:pt idx="323">
                <c:v>10/12/2023</c:v>
              </c:pt>
              <c:pt idx="324">
                <c:v>11/12/2023</c:v>
              </c:pt>
              <c:pt idx="325">
                <c:v>12/12/2023</c:v>
              </c:pt>
              <c:pt idx="326">
                <c:v>13/12/2023</c:v>
              </c:pt>
              <c:pt idx="327">
                <c:v>14/12/2023</c:v>
              </c:pt>
              <c:pt idx="328">
                <c:v>15/12/2023</c:v>
              </c:pt>
              <c:pt idx="329">
                <c:v>16/12/2023</c:v>
              </c:pt>
              <c:pt idx="330">
                <c:v>17/12/2023</c:v>
              </c:pt>
              <c:pt idx="331">
                <c:v>18/12/2023</c:v>
              </c:pt>
              <c:pt idx="332">
                <c:v>19/12/2023</c:v>
              </c:pt>
              <c:pt idx="333">
                <c:v>20/12/2023</c:v>
              </c:pt>
              <c:pt idx="334">
                <c:v>21/12/2023</c:v>
              </c:pt>
              <c:pt idx="335">
                <c:v>22/12/2023</c:v>
              </c:pt>
              <c:pt idx="336">
                <c:v>23/12/2023</c:v>
              </c:pt>
              <c:pt idx="337">
                <c:v>24/12/2023</c:v>
              </c:pt>
              <c:pt idx="338">
                <c:v>25/12/2023</c:v>
              </c:pt>
              <c:pt idx="339">
                <c:v>26/12/2023</c:v>
              </c:pt>
              <c:pt idx="340">
                <c:v>27/12/2023</c:v>
              </c:pt>
              <c:pt idx="341">
                <c:v>28/12/2023</c:v>
              </c:pt>
              <c:pt idx="342">
                <c:v>29/12/2023</c:v>
              </c:pt>
              <c:pt idx="343">
                <c:v>31/12/2023</c:v>
              </c:pt>
              <c:pt idx="344">
                <c:v>1/1/2024</c:v>
              </c:pt>
            </c:strLit>
          </c:cat>
          <c:val>
            <c:numLit>
              <c:formatCode>General</c:formatCode>
              <c:ptCount val="345"/>
              <c:pt idx="0">
                <c:v>3600</c:v>
              </c:pt>
              <c:pt idx="1">
                <c:v>1765</c:v>
              </c:pt>
              <c:pt idx="2">
                <c:v>600</c:v>
              </c:pt>
              <c:pt idx="3">
                <c:v>1240</c:v>
              </c:pt>
              <c:pt idx="4">
                <c:v>1100</c:v>
              </c:pt>
              <c:pt idx="5">
                <c:v>620</c:v>
              </c:pt>
              <c:pt idx="6">
                <c:v>150</c:v>
              </c:pt>
              <c:pt idx="7">
                <c:v>625</c:v>
              </c:pt>
              <c:pt idx="8">
                <c:v>200</c:v>
              </c:pt>
              <c:pt idx="9">
                <c:v>230</c:v>
              </c:pt>
              <c:pt idx="10">
                <c:v>280</c:v>
              </c:pt>
              <c:pt idx="11">
                <c:v>1930</c:v>
              </c:pt>
              <c:pt idx="12">
                <c:v>1550</c:v>
              </c:pt>
              <c:pt idx="13">
                <c:v>660</c:v>
              </c:pt>
              <c:pt idx="14">
                <c:v>4000</c:v>
              </c:pt>
              <c:pt idx="15">
                <c:v>1645</c:v>
              </c:pt>
              <c:pt idx="16">
                <c:v>30</c:v>
              </c:pt>
              <c:pt idx="17">
                <c:v>125</c:v>
              </c:pt>
              <c:pt idx="18">
                <c:v>2090</c:v>
              </c:pt>
              <c:pt idx="19">
                <c:v>325</c:v>
              </c:pt>
              <c:pt idx="20">
                <c:v>3120</c:v>
              </c:pt>
              <c:pt idx="21">
                <c:v>2250</c:v>
              </c:pt>
              <c:pt idx="22">
                <c:v>50</c:v>
              </c:pt>
              <c:pt idx="23">
                <c:v>2570</c:v>
              </c:pt>
              <c:pt idx="24">
                <c:v>235</c:v>
              </c:pt>
              <c:pt idx="25">
                <c:v>1020</c:v>
              </c:pt>
              <c:pt idx="26">
                <c:v>600</c:v>
              </c:pt>
              <c:pt idx="27">
                <c:v>740</c:v>
              </c:pt>
              <c:pt idx="28">
                <c:v>2100</c:v>
              </c:pt>
              <c:pt idx="29">
                <c:v>4700</c:v>
              </c:pt>
              <c:pt idx="30">
                <c:v>1375</c:v>
              </c:pt>
              <c:pt idx="31">
                <c:v>1230</c:v>
              </c:pt>
              <c:pt idx="32">
                <c:v>1120</c:v>
              </c:pt>
              <c:pt idx="33">
                <c:v>1805</c:v>
              </c:pt>
              <c:pt idx="34">
                <c:v>625</c:v>
              </c:pt>
              <c:pt idx="35">
                <c:v>2100</c:v>
              </c:pt>
              <c:pt idx="36">
                <c:v>425</c:v>
              </c:pt>
              <c:pt idx="37">
                <c:v>600</c:v>
              </c:pt>
              <c:pt idx="38">
                <c:v>1900</c:v>
              </c:pt>
              <c:pt idx="39">
                <c:v>2215</c:v>
              </c:pt>
              <c:pt idx="40">
                <c:v>500</c:v>
              </c:pt>
              <c:pt idx="41">
                <c:v>3600</c:v>
              </c:pt>
              <c:pt idx="42">
                <c:v>400</c:v>
              </c:pt>
              <c:pt idx="43">
                <c:v>900</c:v>
              </c:pt>
              <c:pt idx="44">
                <c:v>5890</c:v>
              </c:pt>
              <c:pt idx="45">
                <c:v>1000</c:v>
              </c:pt>
              <c:pt idx="46">
                <c:v>2025</c:v>
              </c:pt>
              <c:pt idx="47">
                <c:v>1130</c:v>
              </c:pt>
              <c:pt idx="48">
                <c:v>385</c:v>
              </c:pt>
              <c:pt idx="49">
                <c:v>300</c:v>
              </c:pt>
              <c:pt idx="50">
                <c:v>30</c:v>
              </c:pt>
              <c:pt idx="51">
                <c:v>3200</c:v>
              </c:pt>
              <c:pt idx="52">
                <c:v>2550</c:v>
              </c:pt>
              <c:pt idx="53">
                <c:v>50</c:v>
              </c:pt>
              <c:pt idx="54">
                <c:v>1825</c:v>
              </c:pt>
              <c:pt idx="55">
                <c:v>2180</c:v>
              </c:pt>
              <c:pt idx="56">
                <c:v>460</c:v>
              </c:pt>
              <c:pt idx="57">
                <c:v>300</c:v>
              </c:pt>
              <c:pt idx="58">
                <c:v>970</c:v>
              </c:pt>
              <c:pt idx="59">
                <c:v>1000</c:v>
              </c:pt>
              <c:pt idx="60">
                <c:v>420</c:v>
              </c:pt>
              <c:pt idx="61">
                <c:v>625</c:v>
              </c:pt>
              <c:pt idx="62">
                <c:v>3040</c:v>
              </c:pt>
              <c:pt idx="63">
                <c:v>25</c:v>
              </c:pt>
              <c:pt idx="64">
                <c:v>1200</c:v>
              </c:pt>
              <c:pt idx="65">
                <c:v>175</c:v>
              </c:pt>
              <c:pt idx="66">
                <c:v>500</c:v>
              </c:pt>
              <c:pt idx="67">
                <c:v>525</c:v>
              </c:pt>
              <c:pt idx="68">
                <c:v>300</c:v>
              </c:pt>
              <c:pt idx="69">
                <c:v>1000</c:v>
              </c:pt>
              <c:pt idx="70">
                <c:v>1075</c:v>
              </c:pt>
              <c:pt idx="71">
                <c:v>1620</c:v>
              </c:pt>
              <c:pt idx="72">
                <c:v>80</c:v>
              </c:pt>
              <c:pt idx="73">
                <c:v>2950</c:v>
              </c:pt>
              <c:pt idx="74">
                <c:v>3500</c:v>
              </c:pt>
              <c:pt idx="75">
                <c:v>1390</c:v>
              </c:pt>
              <c:pt idx="76">
                <c:v>1950</c:v>
              </c:pt>
              <c:pt idx="77">
                <c:v>250</c:v>
              </c:pt>
              <c:pt idx="78">
                <c:v>1625</c:v>
              </c:pt>
              <c:pt idx="79">
                <c:v>1420</c:v>
              </c:pt>
              <c:pt idx="80">
                <c:v>590</c:v>
              </c:pt>
              <c:pt idx="81">
                <c:v>100</c:v>
              </c:pt>
              <c:pt idx="82">
                <c:v>500</c:v>
              </c:pt>
              <c:pt idx="83">
                <c:v>200</c:v>
              </c:pt>
              <c:pt idx="84">
                <c:v>1200</c:v>
              </c:pt>
              <c:pt idx="85">
                <c:v>4400</c:v>
              </c:pt>
              <c:pt idx="86">
                <c:v>2600</c:v>
              </c:pt>
              <c:pt idx="87">
                <c:v>1620</c:v>
              </c:pt>
              <c:pt idx="88">
                <c:v>2100</c:v>
              </c:pt>
              <c:pt idx="89">
                <c:v>1200</c:v>
              </c:pt>
              <c:pt idx="90">
                <c:v>2450</c:v>
              </c:pt>
              <c:pt idx="91">
                <c:v>2235</c:v>
              </c:pt>
              <c:pt idx="92">
                <c:v>60</c:v>
              </c:pt>
              <c:pt idx="93">
                <c:v>50</c:v>
              </c:pt>
              <c:pt idx="94">
                <c:v>1590</c:v>
              </c:pt>
              <c:pt idx="95">
                <c:v>360</c:v>
              </c:pt>
              <c:pt idx="96">
                <c:v>700</c:v>
              </c:pt>
              <c:pt idx="97">
                <c:v>300</c:v>
              </c:pt>
              <c:pt idx="98">
                <c:v>25</c:v>
              </c:pt>
              <c:pt idx="99">
                <c:v>500</c:v>
              </c:pt>
              <c:pt idx="100">
                <c:v>2725</c:v>
              </c:pt>
              <c:pt idx="101">
                <c:v>3375</c:v>
              </c:pt>
              <c:pt idx="102">
                <c:v>170</c:v>
              </c:pt>
              <c:pt idx="103">
                <c:v>225</c:v>
              </c:pt>
              <c:pt idx="104">
                <c:v>2905</c:v>
              </c:pt>
              <c:pt idx="105">
                <c:v>170</c:v>
              </c:pt>
              <c:pt idx="106">
                <c:v>160</c:v>
              </c:pt>
              <c:pt idx="107">
                <c:v>270</c:v>
              </c:pt>
              <c:pt idx="108">
                <c:v>1430</c:v>
              </c:pt>
              <c:pt idx="109">
                <c:v>135</c:v>
              </c:pt>
              <c:pt idx="110">
                <c:v>1960</c:v>
              </c:pt>
              <c:pt idx="111">
                <c:v>155</c:v>
              </c:pt>
              <c:pt idx="112">
                <c:v>625</c:v>
              </c:pt>
              <c:pt idx="113">
                <c:v>165</c:v>
              </c:pt>
              <c:pt idx="114">
                <c:v>300</c:v>
              </c:pt>
              <c:pt idx="115">
                <c:v>1140</c:v>
              </c:pt>
              <c:pt idx="116">
                <c:v>1520</c:v>
              </c:pt>
              <c:pt idx="117">
                <c:v>990</c:v>
              </c:pt>
              <c:pt idx="118">
                <c:v>995</c:v>
              </c:pt>
              <c:pt idx="119">
                <c:v>4200</c:v>
              </c:pt>
              <c:pt idx="120">
                <c:v>660</c:v>
              </c:pt>
              <c:pt idx="121">
                <c:v>2200</c:v>
              </c:pt>
              <c:pt idx="122">
                <c:v>30</c:v>
              </c:pt>
              <c:pt idx="123">
                <c:v>100</c:v>
              </c:pt>
              <c:pt idx="124">
                <c:v>800</c:v>
              </c:pt>
              <c:pt idx="125">
                <c:v>1060</c:v>
              </c:pt>
              <c:pt idx="126">
                <c:v>1680</c:v>
              </c:pt>
              <c:pt idx="127">
                <c:v>7260</c:v>
              </c:pt>
              <c:pt idx="128">
                <c:v>3050</c:v>
              </c:pt>
              <c:pt idx="129">
                <c:v>550</c:v>
              </c:pt>
              <c:pt idx="130">
                <c:v>1350</c:v>
              </c:pt>
              <c:pt idx="131">
                <c:v>725</c:v>
              </c:pt>
              <c:pt idx="132">
                <c:v>2900</c:v>
              </c:pt>
              <c:pt idx="133">
                <c:v>1810</c:v>
              </c:pt>
              <c:pt idx="134">
                <c:v>8455</c:v>
              </c:pt>
              <c:pt idx="135">
                <c:v>50</c:v>
              </c:pt>
              <c:pt idx="136">
                <c:v>2600</c:v>
              </c:pt>
              <c:pt idx="137">
                <c:v>2020</c:v>
              </c:pt>
              <c:pt idx="138">
                <c:v>2200</c:v>
              </c:pt>
              <c:pt idx="139">
                <c:v>75</c:v>
              </c:pt>
              <c:pt idx="140">
                <c:v>1200</c:v>
              </c:pt>
              <c:pt idx="141">
                <c:v>140</c:v>
              </c:pt>
              <c:pt idx="142">
                <c:v>2300</c:v>
              </c:pt>
              <c:pt idx="143">
                <c:v>160</c:v>
              </c:pt>
              <c:pt idx="144">
                <c:v>150</c:v>
              </c:pt>
              <c:pt idx="145">
                <c:v>1025</c:v>
              </c:pt>
              <c:pt idx="146">
                <c:v>1030</c:v>
              </c:pt>
              <c:pt idx="147">
                <c:v>100</c:v>
              </c:pt>
              <c:pt idx="148">
                <c:v>1950</c:v>
              </c:pt>
              <c:pt idx="149">
                <c:v>150</c:v>
              </c:pt>
              <c:pt idx="150">
                <c:v>1700</c:v>
              </c:pt>
              <c:pt idx="151">
                <c:v>1820</c:v>
              </c:pt>
              <c:pt idx="152">
                <c:v>2750</c:v>
              </c:pt>
              <c:pt idx="153">
                <c:v>3300</c:v>
              </c:pt>
              <c:pt idx="154">
                <c:v>50</c:v>
              </c:pt>
              <c:pt idx="155">
                <c:v>500</c:v>
              </c:pt>
              <c:pt idx="156">
                <c:v>900</c:v>
              </c:pt>
              <c:pt idx="157">
                <c:v>220</c:v>
              </c:pt>
              <c:pt idx="158">
                <c:v>230</c:v>
              </c:pt>
              <c:pt idx="159">
                <c:v>1450</c:v>
              </c:pt>
              <c:pt idx="160">
                <c:v>900</c:v>
              </c:pt>
              <c:pt idx="161">
                <c:v>2945</c:v>
              </c:pt>
              <c:pt idx="162">
                <c:v>190</c:v>
              </c:pt>
              <c:pt idx="163">
                <c:v>175</c:v>
              </c:pt>
              <c:pt idx="164">
                <c:v>1220</c:v>
              </c:pt>
              <c:pt idx="165">
                <c:v>170</c:v>
              </c:pt>
              <c:pt idx="166">
                <c:v>6220</c:v>
              </c:pt>
              <c:pt idx="167">
                <c:v>900</c:v>
              </c:pt>
              <c:pt idx="168">
                <c:v>2130</c:v>
              </c:pt>
              <c:pt idx="169">
                <c:v>900</c:v>
              </c:pt>
              <c:pt idx="170">
                <c:v>300</c:v>
              </c:pt>
              <c:pt idx="171">
                <c:v>2150</c:v>
              </c:pt>
              <c:pt idx="172">
                <c:v>1030</c:v>
              </c:pt>
              <c:pt idx="173">
                <c:v>1750</c:v>
              </c:pt>
              <c:pt idx="174">
                <c:v>230</c:v>
              </c:pt>
              <c:pt idx="175">
                <c:v>500</c:v>
              </c:pt>
              <c:pt idx="176">
                <c:v>780</c:v>
              </c:pt>
              <c:pt idx="177">
                <c:v>2260</c:v>
              </c:pt>
              <c:pt idx="178">
                <c:v>220</c:v>
              </c:pt>
              <c:pt idx="179">
                <c:v>325</c:v>
              </c:pt>
              <c:pt idx="180">
                <c:v>200</c:v>
              </c:pt>
              <c:pt idx="181">
                <c:v>30</c:v>
              </c:pt>
              <c:pt idx="182">
                <c:v>100</c:v>
              </c:pt>
              <c:pt idx="183">
                <c:v>5125</c:v>
              </c:pt>
              <c:pt idx="184">
                <c:v>3000</c:v>
              </c:pt>
              <c:pt idx="185">
                <c:v>190</c:v>
              </c:pt>
              <c:pt idx="186">
                <c:v>950</c:v>
              </c:pt>
              <c:pt idx="187">
                <c:v>2060</c:v>
              </c:pt>
              <c:pt idx="188">
                <c:v>1000</c:v>
              </c:pt>
              <c:pt idx="189">
                <c:v>150</c:v>
              </c:pt>
              <c:pt idx="190">
                <c:v>2000</c:v>
              </c:pt>
              <c:pt idx="191">
                <c:v>4610</c:v>
              </c:pt>
              <c:pt idx="192">
                <c:v>2000</c:v>
              </c:pt>
              <c:pt idx="193">
                <c:v>1000</c:v>
              </c:pt>
              <c:pt idx="194">
                <c:v>1190</c:v>
              </c:pt>
              <c:pt idx="195">
                <c:v>3450</c:v>
              </c:pt>
              <c:pt idx="196">
                <c:v>575</c:v>
              </c:pt>
              <c:pt idx="197">
                <c:v>270</c:v>
              </c:pt>
              <c:pt idx="198">
                <c:v>1500</c:v>
              </c:pt>
              <c:pt idx="199">
                <c:v>720</c:v>
              </c:pt>
              <c:pt idx="200">
                <c:v>50</c:v>
              </c:pt>
              <c:pt idx="201">
                <c:v>375</c:v>
              </c:pt>
              <c:pt idx="202">
                <c:v>260</c:v>
              </c:pt>
              <c:pt idx="203">
                <c:v>5205</c:v>
              </c:pt>
              <c:pt idx="204">
                <c:v>2500</c:v>
              </c:pt>
              <c:pt idx="205">
                <c:v>1020</c:v>
              </c:pt>
              <c:pt idx="206">
                <c:v>1385</c:v>
              </c:pt>
              <c:pt idx="207">
                <c:v>1010</c:v>
              </c:pt>
              <c:pt idx="208">
                <c:v>200</c:v>
              </c:pt>
              <c:pt idx="209">
                <c:v>900</c:v>
              </c:pt>
              <c:pt idx="210">
                <c:v>1370</c:v>
              </c:pt>
              <c:pt idx="211">
                <c:v>700</c:v>
              </c:pt>
              <c:pt idx="212">
                <c:v>1230</c:v>
              </c:pt>
              <c:pt idx="213">
                <c:v>970</c:v>
              </c:pt>
              <c:pt idx="214">
                <c:v>900</c:v>
              </c:pt>
              <c:pt idx="215">
                <c:v>1630</c:v>
              </c:pt>
              <c:pt idx="216">
                <c:v>2160</c:v>
              </c:pt>
              <c:pt idx="217">
                <c:v>90</c:v>
              </c:pt>
              <c:pt idx="218">
                <c:v>1560</c:v>
              </c:pt>
              <c:pt idx="219">
                <c:v>1275</c:v>
              </c:pt>
              <c:pt idx="220">
                <c:v>1730</c:v>
              </c:pt>
              <c:pt idx="221">
                <c:v>1305</c:v>
              </c:pt>
              <c:pt idx="222">
                <c:v>395</c:v>
              </c:pt>
              <c:pt idx="223">
                <c:v>955</c:v>
              </c:pt>
              <c:pt idx="224">
                <c:v>1725</c:v>
              </c:pt>
              <c:pt idx="225">
                <c:v>350</c:v>
              </c:pt>
              <c:pt idx="226">
                <c:v>2630</c:v>
              </c:pt>
              <c:pt idx="227">
                <c:v>2360</c:v>
              </c:pt>
              <c:pt idx="228">
                <c:v>1375</c:v>
              </c:pt>
              <c:pt idx="229">
                <c:v>1370</c:v>
              </c:pt>
              <c:pt idx="230">
                <c:v>300</c:v>
              </c:pt>
              <c:pt idx="231">
                <c:v>1000</c:v>
              </c:pt>
              <c:pt idx="232">
                <c:v>530</c:v>
              </c:pt>
              <c:pt idx="233">
                <c:v>1765</c:v>
              </c:pt>
              <c:pt idx="234">
                <c:v>420</c:v>
              </c:pt>
              <c:pt idx="235">
                <c:v>1125</c:v>
              </c:pt>
              <c:pt idx="236">
                <c:v>200</c:v>
              </c:pt>
              <c:pt idx="237">
                <c:v>200</c:v>
              </c:pt>
              <c:pt idx="238">
                <c:v>2200</c:v>
              </c:pt>
              <c:pt idx="239">
                <c:v>50</c:v>
              </c:pt>
              <c:pt idx="240">
                <c:v>1200</c:v>
              </c:pt>
              <c:pt idx="241">
                <c:v>75</c:v>
              </c:pt>
              <c:pt idx="242">
                <c:v>2150</c:v>
              </c:pt>
              <c:pt idx="243">
                <c:v>700</c:v>
              </c:pt>
              <c:pt idx="244">
                <c:v>1000</c:v>
              </c:pt>
              <c:pt idx="245">
                <c:v>160</c:v>
              </c:pt>
              <c:pt idx="246">
                <c:v>105</c:v>
              </c:pt>
              <c:pt idx="247">
                <c:v>140</c:v>
              </c:pt>
              <c:pt idx="248">
                <c:v>100</c:v>
              </c:pt>
              <c:pt idx="249">
                <c:v>390</c:v>
              </c:pt>
              <c:pt idx="250">
                <c:v>1090</c:v>
              </c:pt>
              <c:pt idx="251">
                <c:v>100</c:v>
              </c:pt>
              <c:pt idx="252">
                <c:v>425</c:v>
              </c:pt>
              <c:pt idx="253">
                <c:v>2550</c:v>
              </c:pt>
              <c:pt idx="254">
                <c:v>2900</c:v>
              </c:pt>
              <c:pt idx="255">
                <c:v>2800</c:v>
              </c:pt>
              <c:pt idx="256">
                <c:v>1245</c:v>
              </c:pt>
              <c:pt idx="257">
                <c:v>2170</c:v>
              </c:pt>
              <c:pt idx="258">
                <c:v>3010</c:v>
              </c:pt>
              <c:pt idx="259">
                <c:v>530</c:v>
              </c:pt>
              <c:pt idx="260">
                <c:v>1500</c:v>
              </c:pt>
              <c:pt idx="261">
                <c:v>2500</c:v>
              </c:pt>
              <c:pt idx="262">
                <c:v>2025</c:v>
              </c:pt>
              <c:pt idx="263">
                <c:v>195</c:v>
              </c:pt>
              <c:pt idx="264">
                <c:v>2120</c:v>
              </c:pt>
              <c:pt idx="265">
                <c:v>2250</c:v>
              </c:pt>
              <c:pt idx="266">
                <c:v>475</c:v>
              </c:pt>
              <c:pt idx="267">
                <c:v>1175</c:v>
              </c:pt>
              <c:pt idx="268">
                <c:v>110</c:v>
              </c:pt>
              <c:pt idx="269">
                <c:v>1500</c:v>
              </c:pt>
              <c:pt idx="270">
                <c:v>2860</c:v>
              </c:pt>
              <c:pt idx="271">
                <c:v>175</c:v>
              </c:pt>
              <c:pt idx="272">
                <c:v>2025</c:v>
              </c:pt>
              <c:pt idx="273">
                <c:v>1860</c:v>
              </c:pt>
              <c:pt idx="274">
                <c:v>50</c:v>
              </c:pt>
              <c:pt idx="275">
                <c:v>50</c:v>
              </c:pt>
              <c:pt idx="276">
                <c:v>1950</c:v>
              </c:pt>
              <c:pt idx="277">
                <c:v>800</c:v>
              </c:pt>
              <c:pt idx="278">
                <c:v>2200</c:v>
              </c:pt>
              <c:pt idx="279">
                <c:v>3500</c:v>
              </c:pt>
              <c:pt idx="280">
                <c:v>740</c:v>
              </c:pt>
              <c:pt idx="281">
                <c:v>3650</c:v>
              </c:pt>
              <c:pt idx="282">
                <c:v>1250</c:v>
              </c:pt>
              <c:pt idx="283">
                <c:v>75</c:v>
              </c:pt>
              <c:pt idx="284">
                <c:v>1790</c:v>
              </c:pt>
              <c:pt idx="285">
                <c:v>1450</c:v>
              </c:pt>
              <c:pt idx="286">
                <c:v>1915</c:v>
              </c:pt>
              <c:pt idx="287">
                <c:v>1200</c:v>
              </c:pt>
              <c:pt idx="288">
                <c:v>500</c:v>
              </c:pt>
              <c:pt idx="289">
                <c:v>1800</c:v>
              </c:pt>
              <c:pt idx="290">
                <c:v>2700</c:v>
              </c:pt>
              <c:pt idx="291">
                <c:v>1560</c:v>
              </c:pt>
              <c:pt idx="292">
                <c:v>210</c:v>
              </c:pt>
              <c:pt idx="293">
                <c:v>3100</c:v>
              </c:pt>
              <c:pt idx="294">
                <c:v>115</c:v>
              </c:pt>
              <c:pt idx="295">
                <c:v>225</c:v>
              </c:pt>
              <c:pt idx="296">
                <c:v>1225</c:v>
              </c:pt>
              <c:pt idx="297">
                <c:v>1080</c:v>
              </c:pt>
              <c:pt idx="298">
                <c:v>1630</c:v>
              </c:pt>
              <c:pt idx="299">
                <c:v>1500</c:v>
              </c:pt>
              <c:pt idx="300">
                <c:v>2610</c:v>
              </c:pt>
              <c:pt idx="301">
                <c:v>1130</c:v>
              </c:pt>
              <c:pt idx="302">
                <c:v>300</c:v>
              </c:pt>
              <c:pt idx="303">
                <c:v>50</c:v>
              </c:pt>
              <c:pt idx="304">
                <c:v>1060</c:v>
              </c:pt>
              <c:pt idx="305">
                <c:v>2200</c:v>
              </c:pt>
              <c:pt idx="306">
                <c:v>1590</c:v>
              </c:pt>
              <c:pt idx="307">
                <c:v>1110</c:v>
              </c:pt>
              <c:pt idx="308">
                <c:v>150</c:v>
              </c:pt>
              <c:pt idx="309">
                <c:v>1600</c:v>
              </c:pt>
              <c:pt idx="310">
                <c:v>235</c:v>
              </c:pt>
              <c:pt idx="311">
                <c:v>390</c:v>
              </c:pt>
              <c:pt idx="312">
                <c:v>1825</c:v>
              </c:pt>
              <c:pt idx="313">
                <c:v>460</c:v>
              </c:pt>
              <c:pt idx="314">
                <c:v>110</c:v>
              </c:pt>
              <c:pt idx="315">
                <c:v>3030</c:v>
              </c:pt>
              <c:pt idx="316">
                <c:v>600</c:v>
              </c:pt>
              <c:pt idx="317">
                <c:v>1730</c:v>
              </c:pt>
              <c:pt idx="318">
                <c:v>2475</c:v>
              </c:pt>
              <c:pt idx="319">
                <c:v>2940</c:v>
              </c:pt>
              <c:pt idx="320">
                <c:v>1400</c:v>
              </c:pt>
              <c:pt idx="321">
                <c:v>2800</c:v>
              </c:pt>
              <c:pt idx="322">
                <c:v>3925</c:v>
              </c:pt>
              <c:pt idx="323">
                <c:v>1420</c:v>
              </c:pt>
              <c:pt idx="324">
                <c:v>950</c:v>
              </c:pt>
              <c:pt idx="325">
                <c:v>200</c:v>
              </c:pt>
              <c:pt idx="326">
                <c:v>725</c:v>
              </c:pt>
              <c:pt idx="327">
                <c:v>660</c:v>
              </c:pt>
              <c:pt idx="328">
                <c:v>2050</c:v>
              </c:pt>
              <c:pt idx="329">
                <c:v>1130</c:v>
              </c:pt>
              <c:pt idx="330">
                <c:v>1500</c:v>
              </c:pt>
              <c:pt idx="331">
                <c:v>2250</c:v>
              </c:pt>
              <c:pt idx="332">
                <c:v>790</c:v>
              </c:pt>
              <c:pt idx="333">
                <c:v>1350</c:v>
              </c:pt>
              <c:pt idx="334">
                <c:v>300</c:v>
              </c:pt>
              <c:pt idx="335">
                <c:v>1000</c:v>
              </c:pt>
              <c:pt idx="336">
                <c:v>1850</c:v>
              </c:pt>
              <c:pt idx="337">
                <c:v>200</c:v>
              </c:pt>
              <c:pt idx="338">
                <c:v>1200</c:v>
              </c:pt>
              <c:pt idx="339">
                <c:v>1880</c:v>
              </c:pt>
              <c:pt idx="340">
                <c:v>700</c:v>
              </c:pt>
              <c:pt idx="341">
                <c:v>2075</c:v>
              </c:pt>
              <c:pt idx="342">
                <c:v>3400</c:v>
              </c:pt>
              <c:pt idx="343">
                <c:v>50</c:v>
              </c:pt>
              <c:pt idx="344">
                <c:v>1530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870-4BC7-A2E3-A4B23036E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511519"/>
        <c:axId val="332115631"/>
      </c:lineChart>
      <c:catAx>
        <c:axId val="75251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15631"/>
        <c:crosses val="autoZero"/>
        <c:auto val="1"/>
        <c:lblAlgn val="ctr"/>
        <c:lblOffset val="100"/>
        <c:noMultiLvlLbl val="0"/>
      </c:catAx>
      <c:valAx>
        <c:axId val="3321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1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18-27</c:v>
              </c:pt>
              <c:pt idx="1">
                <c:v>28-37</c:v>
              </c:pt>
              <c:pt idx="2">
                <c:v>38-47</c:v>
              </c:pt>
              <c:pt idx="3">
                <c:v>48-57</c:v>
              </c:pt>
              <c:pt idx="4">
                <c:v>58-67</c:v>
              </c:pt>
            </c:strLit>
          </c:cat>
          <c:val>
            <c:numLit>
              <c:formatCode>General</c:formatCode>
              <c:ptCount val="5"/>
              <c:pt idx="0">
                <c:v>107915</c:v>
              </c:pt>
              <c:pt idx="1">
                <c:v>95870</c:v>
              </c:pt>
              <c:pt idx="2">
                <c:v>96710</c:v>
              </c:pt>
              <c:pt idx="3">
                <c:v>93825</c:v>
              </c:pt>
              <c:pt idx="4">
                <c:v>61680</c:v>
              </c:pt>
            </c:numLit>
          </c:val>
          <c:extLst>
            <c:ext xmlns:c16="http://schemas.microsoft.com/office/drawing/2014/chart" uri="{C3380CC4-5D6E-409C-BE32-E72D297353CC}">
              <c16:uniqueId val="{00000000-3F22-40D7-BC2E-E368EE4E7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0912703"/>
        <c:axId val="332139151"/>
      </c:barChart>
      <c:catAx>
        <c:axId val="350912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39151"/>
        <c:crosses val="autoZero"/>
        <c:auto val="1"/>
        <c:lblAlgn val="ctr"/>
        <c:lblOffset val="100"/>
        <c:noMultiLvlLbl val="0"/>
      </c:catAx>
      <c:valAx>
        <c:axId val="33213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1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7620</xdr:rowOff>
    </xdr:from>
    <xdr:to>
      <xdr:col>6</xdr:col>
      <xdr:colOff>586740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1636C0-5E17-4C2A-BD81-C05A2985A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5</xdr:col>
      <xdr:colOff>175260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6E6EF5-DCF8-4243-A4C9-7C8E98172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5</xdr:col>
      <xdr:colOff>175260</xdr:colOff>
      <xdr:row>54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2DFA27-15C3-419D-AEA4-24ED05CF6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56</xdr:row>
      <xdr:rowOff>0</xdr:rowOff>
    </xdr:from>
    <xdr:to>
      <xdr:col>5</xdr:col>
      <xdr:colOff>175260</xdr:colOff>
      <xdr:row>71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71BF94-8046-4FBE-AA20-666AFC379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IZA MIRZA" refreshedDate="46211.850354282411" createdVersion="8" refreshedVersion="8" minRefreshableVersion="3" recordCount="1000" xr:uid="{B7D6F2BF-323C-4CE1-A38B-CAA7D3C12832}">
  <cacheSource type="worksheet">
    <worksheetSource name="SalesData"/>
  </cacheSource>
  <cacheFields count="12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1"/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  <fieldGroup base="4">
        <rangePr autoEnd="0" startNum="18" endNum="70" groupInterval="10"/>
        <groupItems count="8">
          <s v="&lt;18"/>
          <s v="18-27"/>
          <s v="28-37"/>
          <s v="38-47"/>
          <s v="48-57"/>
          <s v="58-67"/>
          <s v="68-77"/>
          <s v="&gt;78"/>
        </groupItems>
      </fieldGroup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Months (Date)" numFmtId="0" databaseField="0">
      <fieldGroup base="1">
        <rangePr groupBy="months" startDate="2023-01-01T00:00:00" endDate="2024-01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/2024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1/1/2023"/>
          <s v="Qtr1"/>
          <s v="Qtr2"/>
          <s v="Qtr3"/>
          <s v="Qtr4"/>
          <s v="&gt;2/1/20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1/1/2023"/>
          <s v="2023"/>
          <s v="2024"/>
          <s v="&gt;2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x v="0"/>
    <x v="0"/>
    <x v="0"/>
    <n v="3"/>
    <n v="50"/>
    <x v="0"/>
  </r>
  <r>
    <n v="2"/>
    <x v="1"/>
    <x v="1"/>
    <x v="1"/>
    <x v="1"/>
    <x v="1"/>
    <n v="2"/>
    <n v="500"/>
    <x v="1"/>
  </r>
  <r>
    <n v="3"/>
    <x v="2"/>
    <x v="2"/>
    <x v="0"/>
    <x v="2"/>
    <x v="2"/>
    <n v="1"/>
    <n v="30"/>
    <x v="2"/>
  </r>
  <r>
    <n v="4"/>
    <x v="3"/>
    <x v="3"/>
    <x v="0"/>
    <x v="3"/>
    <x v="1"/>
    <n v="1"/>
    <n v="500"/>
    <x v="3"/>
  </r>
  <r>
    <n v="5"/>
    <x v="4"/>
    <x v="4"/>
    <x v="0"/>
    <x v="4"/>
    <x v="0"/>
    <n v="2"/>
    <n v="50"/>
    <x v="4"/>
  </r>
  <r>
    <n v="6"/>
    <x v="5"/>
    <x v="5"/>
    <x v="1"/>
    <x v="5"/>
    <x v="0"/>
    <n v="1"/>
    <n v="30"/>
    <x v="2"/>
  </r>
  <r>
    <n v="7"/>
    <x v="6"/>
    <x v="6"/>
    <x v="0"/>
    <x v="6"/>
    <x v="1"/>
    <n v="2"/>
    <n v="25"/>
    <x v="5"/>
  </r>
  <r>
    <n v="8"/>
    <x v="7"/>
    <x v="7"/>
    <x v="0"/>
    <x v="4"/>
    <x v="2"/>
    <n v="4"/>
    <n v="25"/>
    <x v="4"/>
  </r>
  <r>
    <n v="9"/>
    <x v="8"/>
    <x v="8"/>
    <x v="0"/>
    <x v="7"/>
    <x v="2"/>
    <n v="2"/>
    <n v="300"/>
    <x v="6"/>
  </r>
  <r>
    <n v="10"/>
    <x v="9"/>
    <x v="9"/>
    <x v="1"/>
    <x v="8"/>
    <x v="1"/>
    <n v="4"/>
    <n v="50"/>
    <x v="7"/>
  </r>
  <r>
    <n v="11"/>
    <x v="10"/>
    <x v="10"/>
    <x v="0"/>
    <x v="9"/>
    <x v="1"/>
    <n v="2"/>
    <n v="50"/>
    <x v="4"/>
  </r>
  <r>
    <n v="12"/>
    <x v="11"/>
    <x v="11"/>
    <x v="0"/>
    <x v="10"/>
    <x v="0"/>
    <n v="3"/>
    <n v="25"/>
    <x v="8"/>
  </r>
  <r>
    <n v="13"/>
    <x v="12"/>
    <x v="12"/>
    <x v="0"/>
    <x v="11"/>
    <x v="2"/>
    <n v="3"/>
    <n v="500"/>
    <x v="9"/>
  </r>
  <r>
    <n v="14"/>
    <x v="13"/>
    <x v="13"/>
    <x v="0"/>
    <x v="12"/>
    <x v="1"/>
    <n v="4"/>
    <n v="30"/>
    <x v="10"/>
  </r>
  <r>
    <n v="15"/>
    <x v="14"/>
    <x v="14"/>
    <x v="1"/>
    <x v="13"/>
    <x v="2"/>
    <n v="4"/>
    <n v="500"/>
    <x v="11"/>
  </r>
  <r>
    <n v="16"/>
    <x v="15"/>
    <x v="15"/>
    <x v="0"/>
    <x v="14"/>
    <x v="1"/>
    <n v="3"/>
    <n v="500"/>
    <x v="9"/>
  </r>
  <r>
    <n v="17"/>
    <x v="16"/>
    <x v="16"/>
    <x v="1"/>
    <x v="15"/>
    <x v="1"/>
    <n v="4"/>
    <n v="25"/>
    <x v="4"/>
  </r>
  <r>
    <n v="18"/>
    <x v="17"/>
    <x v="17"/>
    <x v="1"/>
    <x v="16"/>
    <x v="2"/>
    <n v="2"/>
    <n v="25"/>
    <x v="5"/>
  </r>
  <r>
    <n v="19"/>
    <x v="18"/>
    <x v="18"/>
    <x v="1"/>
    <x v="17"/>
    <x v="1"/>
    <n v="2"/>
    <n v="25"/>
    <x v="5"/>
  </r>
  <r>
    <n v="20"/>
    <x v="19"/>
    <x v="19"/>
    <x v="0"/>
    <x v="11"/>
    <x v="1"/>
    <n v="3"/>
    <n v="300"/>
    <x v="12"/>
  </r>
  <r>
    <n v="21"/>
    <x v="20"/>
    <x v="20"/>
    <x v="1"/>
    <x v="2"/>
    <x v="0"/>
    <n v="1"/>
    <n v="500"/>
    <x v="3"/>
  </r>
  <r>
    <n v="22"/>
    <x v="21"/>
    <x v="21"/>
    <x v="0"/>
    <x v="18"/>
    <x v="1"/>
    <n v="2"/>
    <n v="50"/>
    <x v="4"/>
  </r>
  <r>
    <n v="23"/>
    <x v="22"/>
    <x v="22"/>
    <x v="1"/>
    <x v="10"/>
    <x v="1"/>
    <n v="4"/>
    <n v="30"/>
    <x v="10"/>
  </r>
  <r>
    <n v="24"/>
    <x v="23"/>
    <x v="23"/>
    <x v="1"/>
    <x v="19"/>
    <x v="1"/>
    <n v="1"/>
    <n v="300"/>
    <x v="13"/>
  </r>
  <r>
    <n v="25"/>
    <x v="24"/>
    <x v="24"/>
    <x v="1"/>
    <x v="12"/>
    <x v="0"/>
    <n v="1"/>
    <n v="50"/>
    <x v="5"/>
  </r>
  <r>
    <n v="26"/>
    <x v="9"/>
    <x v="25"/>
    <x v="1"/>
    <x v="20"/>
    <x v="2"/>
    <n v="2"/>
    <n v="500"/>
    <x v="1"/>
  </r>
  <r>
    <n v="27"/>
    <x v="25"/>
    <x v="26"/>
    <x v="1"/>
    <x v="21"/>
    <x v="0"/>
    <n v="2"/>
    <n v="25"/>
    <x v="5"/>
  </r>
  <r>
    <n v="28"/>
    <x v="26"/>
    <x v="27"/>
    <x v="1"/>
    <x v="22"/>
    <x v="0"/>
    <n v="1"/>
    <n v="500"/>
    <x v="3"/>
  </r>
  <r>
    <n v="29"/>
    <x v="27"/>
    <x v="28"/>
    <x v="1"/>
    <x v="13"/>
    <x v="2"/>
    <n v="1"/>
    <n v="30"/>
    <x v="2"/>
  </r>
  <r>
    <n v="30"/>
    <x v="28"/>
    <x v="29"/>
    <x v="1"/>
    <x v="23"/>
    <x v="0"/>
    <n v="3"/>
    <n v="300"/>
    <x v="12"/>
  </r>
  <r>
    <n v="31"/>
    <x v="29"/>
    <x v="30"/>
    <x v="0"/>
    <x v="24"/>
    <x v="2"/>
    <n v="4"/>
    <n v="300"/>
    <x v="14"/>
  </r>
  <r>
    <n v="32"/>
    <x v="30"/>
    <x v="31"/>
    <x v="0"/>
    <x v="4"/>
    <x v="0"/>
    <n v="3"/>
    <n v="30"/>
    <x v="15"/>
  </r>
  <r>
    <n v="33"/>
    <x v="31"/>
    <x v="32"/>
    <x v="1"/>
    <x v="2"/>
    <x v="2"/>
    <n v="2"/>
    <n v="50"/>
    <x v="4"/>
  </r>
  <r>
    <n v="34"/>
    <x v="32"/>
    <x v="33"/>
    <x v="1"/>
    <x v="25"/>
    <x v="1"/>
    <n v="3"/>
    <n v="50"/>
    <x v="0"/>
  </r>
  <r>
    <n v="35"/>
    <x v="12"/>
    <x v="34"/>
    <x v="1"/>
    <x v="26"/>
    <x v="0"/>
    <n v="3"/>
    <n v="300"/>
    <x v="12"/>
  </r>
  <r>
    <n v="36"/>
    <x v="33"/>
    <x v="35"/>
    <x v="0"/>
    <x v="8"/>
    <x v="0"/>
    <n v="3"/>
    <n v="300"/>
    <x v="12"/>
  </r>
  <r>
    <n v="37"/>
    <x v="29"/>
    <x v="36"/>
    <x v="1"/>
    <x v="18"/>
    <x v="0"/>
    <n v="3"/>
    <n v="25"/>
    <x v="8"/>
  </r>
  <r>
    <n v="38"/>
    <x v="34"/>
    <x v="37"/>
    <x v="0"/>
    <x v="21"/>
    <x v="0"/>
    <n v="4"/>
    <n v="50"/>
    <x v="7"/>
  </r>
  <r>
    <n v="39"/>
    <x v="35"/>
    <x v="38"/>
    <x v="0"/>
    <x v="9"/>
    <x v="1"/>
    <n v="4"/>
    <n v="30"/>
    <x v="10"/>
  </r>
  <r>
    <n v="40"/>
    <x v="36"/>
    <x v="39"/>
    <x v="0"/>
    <x v="5"/>
    <x v="0"/>
    <n v="1"/>
    <n v="50"/>
    <x v="5"/>
  </r>
  <r>
    <n v="41"/>
    <x v="7"/>
    <x v="40"/>
    <x v="0"/>
    <x v="0"/>
    <x v="1"/>
    <n v="2"/>
    <n v="25"/>
    <x v="5"/>
  </r>
  <r>
    <n v="42"/>
    <x v="15"/>
    <x v="41"/>
    <x v="0"/>
    <x v="11"/>
    <x v="1"/>
    <n v="3"/>
    <n v="300"/>
    <x v="12"/>
  </r>
  <r>
    <n v="43"/>
    <x v="37"/>
    <x v="42"/>
    <x v="1"/>
    <x v="27"/>
    <x v="1"/>
    <n v="1"/>
    <n v="300"/>
    <x v="13"/>
  </r>
  <r>
    <n v="44"/>
    <x v="38"/>
    <x v="43"/>
    <x v="1"/>
    <x v="11"/>
    <x v="1"/>
    <n v="1"/>
    <n v="25"/>
    <x v="16"/>
  </r>
  <r>
    <n v="45"/>
    <x v="39"/>
    <x v="44"/>
    <x v="1"/>
    <x v="28"/>
    <x v="2"/>
    <n v="1"/>
    <n v="30"/>
    <x v="2"/>
  </r>
  <r>
    <n v="46"/>
    <x v="40"/>
    <x v="45"/>
    <x v="1"/>
    <x v="29"/>
    <x v="2"/>
    <n v="4"/>
    <n v="300"/>
    <x v="14"/>
  </r>
  <r>
    <n v="47"/>
    <x v="41"/>
    <x v="46"/>
    <x v="1"/>
    <x v="30"/>
    <x v="0"/>
    <n v="3"/>
    <n v="500"/>
    <x v="9"/>
  </r>
  <r>
    <n v="48"/>
    <x v="42"/>
    <x v="47"/>
    <x v="0"/>
    <x v="31"/>
    <x v="2"/>
    <n v="3"/>
    <n v="300"/>
    <x v="12"/>
  </r>
  <r>
    <n v="49"/>
    <x v="43"/>
    <x v="48"/>
    <x v="1"/>
    <x v="31"/>
    <x v="2"/>
    <n v="2"/>
    <n v="500"/>
    <x v="1"/>
  </r>
  <r>
    <n v="50"/>
    <x v="44"/>
    <x v="49"/>
    <x v="1"/>
    <x v="15"/>
    <x v="0"/>
    <n v="3"/>
    <n v="25"/>
    <x v="8"/>
  </r>
  <r>
    <n v="51"/>
    <x v="45"/>
    <x v="50"/>
    <x v="0"/>
    <x v="15"/>
    <x v="0"/>
    <n v="3"/>
    <n v="25"/>
    <x v="8"/>
  </r>
  <r>
    <n v="52"/>
    <x v="46"/>
    <x v="51"/>
    <x v="1"/>
    <x v="32"/>
    <x v="0"/>
    <n v="1"/>
    <n v="300"/>
    <x v="13"/>
  </r>
  <r>
    <n v="53"/>
    <x v="47"/>
    <x v="52"/>
    <x v="0"/>
    <x v="0"/>
    <x v="2"/>
    <n v="2"/>
    <n v="50"/>
    <x v="4"/>
  </r>
  <r>
    <n v="54"/>
    <x v="48"/>
    <x v="53"/>
    <x v="1"/>
    <x v="21"/>
    <x v="2"/>
    <n v="3"/>
    <n v="500"/>
    <x v="9"/>
  </r>
  <r>
    <n v="55"/>
    <x v="49"/>
    <x v="54"/>
    <x v="0"/>
    <x v="33"/>
    <x v="0"/>
    <n v="4"/>
    <n v="30"/>
    <x v="10"/>
  </r>
  <r>
    <n v="56"/>
    <x v="50"/>
    <x v="55"/>
    <x v="1"/>
    <x v="1"/>
    <x v="1"/>
    <n v="3"/>
    <n v="300"/>
    <x v="12"/>
  </r>
  <r>
    <n v="57"/>
    <x v="51"/>
    <x v="56"/>
    <x v="1"/>
    <x v="7"/>
    <x v="0"/>
    <n v="1"/>
    <n v="30"/>
    <x v="2"/>
  </r>
  <r>
    <n v="58"/>
    <x v="52"/>
    <x v="57"/>
    <x v="0"/>
    <x v="18"/>
    <x v="1"/>
    <n v="4"/>
    <n v="300"/>
    <x v="14"/>
  </r>
  <r>
    <n v="59"/>
    <x v="53"/>
    <x v="58"/>
    <x v="0"/>
    <x v="17"/>
    <x v="1"/>
    <n v="1"/>
    <n v="50"/>
    <x v="5"/>
  </r>
  <r>
    <n v="60"/>
    <x v="54"/>
    <x v="59"/>
    <x v="0"/>
    <x v="4"/>
    <x v="0"/>
    <n v="3"/>
    <n v="50"/>
    <x v="0"/>
  </r>
  <r>
    <n v="61"/>
    <x v="55"/>
    <x v="60"/>
    <x v="0"/>
    <x v="34"/>
    <x v="0"/>
    <n v="4"/>
    <n v="50"/>
    <x v="7"/>
  </r>
  <r>
    <n v="62"/>
    <x v="56"/>
    <x v="61"/>
    <x v="0"/>
    <x v="18"/>
    <x v="0"/>
    <n v="2"/>
    <n v="50"/>
    <x v="4"/>
  </r>
  <r>
    <n v="63"/>
    <x v="57"/>
    <x v="62"/>
    <x v="0"/>
    <x v="35"/>
    <x v="2"/>
    <n v="2"/>
    <n v="25"/>
    <x v="5"/>
  </r>
  <r>
    <n v="64"/>
    <x v="58"/>
    <x v="63"/>
    <x v="0"/>
    <x v="19"/>
    <x v="1"/>
    <n v="4"/>
    <n v="25"/>
    <x v="4"/>
  </r>
  <r>
    <n v="65"/>
    <x v="59"/>
    <x v="64"/>
    <x v="0"/>
    <x v="25"/>
    <x v="2"/>
    <n v="4"/>
    <n v="500"/>
    <x v="11"/>
  </r>
  <r>
    <n v="66"/>
    <x v="60"/>
    <x v="65"/>
    <x v="1"/>
    <x v="5"/>
    <x v="2"/>
    <n v="1"/>
    <n v="30"/>
    <x v="2"/>
  </r>
  <r>
    <n v="67"/>
    <x v="61"/>
    <x v="66"/>
    <x v="1"/>
    <x v="27"/>
    <x v="0"/>
    <n v="4"/>
    <n v="300"/>
    <x v="14"/>
  </r>
  <r>
    <n v="68"/>
    <x v="48"/>
    <x v="67"/>
    <x v="0"/>
    <x v="36"/>
    <x v="2"/>
    <n v="1"/>
    <n v="300"/>
    <x v="13"/>
  </r>
  <r>
    <n v="69"/>
    <x v="17"/>
    <x v="68"/>
    <x v="1"/>
    <x v="37"/>
    <x v="0"/>
    <n v="3"/>
    <n v="25"/>
    <x v="8"/>
  </r>
  <r>
    <n v="70"/>
    <x v="62"/>
    <x v="69"/>
    <x v="1"/>
    <x v="22"/>
    <x v="1"/>
    <n v="1"/>
    <n v="300"/>
    <x v="13"/>
  </r>
  <r>
    <n v="71"/>
    <x v="37"/>
    <x v="70"/>
    <x v="1"/>
    <x v="25"/>
    <x v="0"/>
    <n v="4"/>
    <n v="25"/>
    <x v="4"/>
  </r>
  <r>
    <n v="72"/>
    <x v="29"/>
    <x v="71"/>
    <x v="1"/>
    <x v="29"/>
    <x v="2"/>
    <n v="4"/>
    <n v="500"/>
    <x v="11"/>
  </r>
  <r>
    <n v="73"/>
    <x v="63"/>
    <x v="72"/>
    <x v="0"/>
    <x v="38"/>
    <x v="2"/>
    <n v="3"/>
    <n v="30"/>
    <x v="15"/>
  </r>
  <r>
    <n v="74"/>
    <x v="64"/>
    <x v="73"/>
    <x v="1"/>
    <x v="18"/>
    <x v="0"/>
    <n v="4"/>
    <n v="500"/>
    <x v="11"/>
  </r>
  <r>
    <n v="75"/>
    <x v="65"/>
    <x v="74"/>
    <x v="0"/>
    <x v="39"/>
    <x v="0"/>
    <n v="4"/>
    <n v="50"/>
    <x v="7"/>
  </r>
  <r>
    <n v="76"/>
    <x v="66"/>
    <x v="75"/>
    <x v="1"/>
    <x v="11"/>
    <x v="2"/>
    <n v="2"/>
    <n v="50"/>
    <x v="4"/>
  </r>
  <r>
    <n v="77"/>
    <x v="67"/>
    <x v="76"/>
    <x v="1"/>
    <x v="16"/>
    <x v="1"/>
    <n v="2"/>
    <n v="50"/>
    <x v="4"/>
  </r>
  <r>
    <n v="78"/>
    <x v="68"/>
    <x v="77"/>
    <x v="1"/>
    <x v="16"/>
    <x v="1"/>
    <n v="3"/>
    <n v="500"/>
    <x v="9"/>
  </r>
  <r>
    <n v="79"/>
    <x v="69"/>
    <x v="78"/>
    <x v="0"/>
    <x v="0"/>
    <x v="0"/>
    <n v="1"/>
    <n v="300"/>
    <x v="13"/>
  </r>
  <r>
    <n v="80"/>
    <x v="70"/>
    <x v="79"/>
    <x v="1"/>
    <x v="12"/>
    <x v="1"/>
    <n v="2"/>
    <n v="30"/>
    <x v="17"/>
  </r>
  <r>
    <n v="81"/>
    <x v="71"/>
    <x v="80"/>
    <x v="0"/>
    <x v="30"/>
    <x v="2"/>
    <n v="1"/>
    <n v="50"/>
    <x v="5"/>
  </r>
  <r>
    <n v="82"/>
    <x v="24"/>
    <x v="81"/>
    <x v="1"/>
    <x v="40"/>
    <x v="0"/>
    <n v="4"/>
    <n v="50"/>
    <x v="7"/>
  </r>
  <r>
    <n v="83"/>
    <x v="72"/>
    <x v="82"/>
    <x v="0"/>
    <x v="31"/>
    <x v="2"/>
    <n v="2"/>
    <n v="50"/>
    <x v="4"/>
  </r>
  <r>
    <n v="84"/>
    <x v="73"/>
    <x v="83"/>
    <x v="1"/>
    <x v="21"/>
    <x v="2"/>
    <n v="3"/>
    <n v="30"/>
    <x v="15"/>
  </r>
  <r>
    <n v="85"/>
    <x v="74"/>
    <x v="84"/>
    <x v="0"/>
    <x v="33"/>
    <x v="1"/>
    <n v="3"/>
    <n v="50"/>
    <x v="0"/>
  </r>
  <r>
    <n v="86"/>
    <x v="75"/>
    <x v="85"/>
    <x v="0"/>
    <x v="14"/>
    <x v="0"/>
    <n v="3"/>
    <n v="30"/>
    <x v="15"/>
  </r>
  <r>
    <n v="87"/>
    <x v="64"/>
    <x v="86"/>
    <x v="1"/>
    <x v="20"/>
    <x v="0"/>
    <n v="2"/>
    <n v="50"/>
    <x v="4"/>
  </r>
  <r>
    <n v="88"/>
    <x v="76"/>
    <x v="87"/>
    <x v="0"/>
    <x v="37"/>
    <x v="1"/>
    <n v="1"/>
    <n v="500"/>
    <x v="3"/>
  </r>
  <r>
    <n v="89"/>
    <x v="77"/>
    <x v="88"/>
    <x v="1"/>
    <x v="28"/>
    <x v="2"/>
    <n v="4"/>
    <n v="500"/>
    <x v="11"/>
  </r>
  <r>
    <n v="90"/>
    <x v="4"/>
    <x v="89"/>
    <x v="1"/>
    <x v="25"/>
    <x v="2"/>
    <n v="1"/>
    <n v="30"/>
    <x v="2"/>
  </r>
  <r>
    <n v="91"/>
    <x v="66"/>
    <x v="90"/>
    <x v="1"/>
    <x v="28"/>
    <x v="2"/>
    <n v="1"/>
    <n v="500"/>
    <x v="3"/>
  </r>
  <r>
    <n v="92"/>
    <x v="78"/>
    <x v="91"/>
    <x v="1"/>
    <x v="25"/>
    <x v="2"/>
    <n v="4"/>
    <n v="30"/>
    <x v="10"/>
  </r>
  <r>
    <n v="93"/>
    <x v="37"/>
    <x v="92"/>
    <x v="1"/>
    <x v="10"/>
    <x v="0"/>
    <n v="4"/>
    <n v="500"/>
    <x v="11"/>
  </r>
  <r>
    <n v="94"/>
    <x v="79"/>
    <x v="93"/>
    <x v="1"/>
    <x v="16"/>
    <x v="0"/>
    <n v="2"/>
    <n v="500"/>
    <x v="1"/>
  </r>
  <r>
    <n v="95"/>
    <x v="0"/>
    <x v="94"/>
    <x v="1"/>
    <x v="40"/>
    <x v="1"/>
    <n v="2"/>
    <n v="30"/>
    <x v="17"/>
  </r>
  <r>
    <n v="96"/>
    <x v="80"/>
    <x v="95"/>
    <x v="1"/>
    <x v="24"/>
    <x v="1"/>
    <n v="2"/>
    <n v="300"/>
    <x v="6"/>
  </r>
  <r>
    <n v="97"/>
    <x v="81"/>
    <x v="96"/>
    <x v="1"/>
    <x v="25"/>
    <x v="0"/>
    <n v="2"/>
    <n v="500"/>
    <x v="1"/>
  </r>
  <r>
    <n v="98"/>
    <x v="26"/>
    <x v="97"/>
    <x v="1"/>
    <x v="28"/>
    <x v="0"/>
    <n v="2"/>
    <n v="50"/>
    <x v="4"/>
  </r>
  <r>
    <n v="99"/>
    <x v="82"/>
    <x v="98"/>
    <x v="1"/>
    <x v="2"/>
    <x v="2"/>
    <n v="4"/>
    <n v="300"/>
    <x v="14"/>
  </r>
  <r>
    <n v="100"/>
    <x v="83"/>
    <x v="99"/>
    <x v="0"/>
    <x v="41"/>
    <x v="2"/>
    <n v="1"/>
    <n v="30"/>
    <x v="2"/>
  </r>
  <r>
    <n v="101"/>
    <x v="84"/>
    <x v="100"/>
    <x v="0"/>
    <x v="40"/>
    <x v="1"/>
    <n v="2"/>
    <n v="300"/>
    <x v="6"/>
  </r>
  <r>
    <n v="102"/>
    <x v="85"/>
    <x v="101"/>
    <x v="1"/>
    <x v="16"/>
    <x v="0"/>
    <n v="2"/>
    <n v="25"/>
    <x v="5"/>
  </r>
  <r>
    <n v="103"/>
    <x v="13"/>
    <x v="102"/>
    <x v="1"/>
    <x v="42"/>
    <x v="1"/>
    <n v="1"/>
    <n v="25"/>
    <x v="16"/>
  </r>
  <r>
    <n v="104"/>
    <x v="86"/>
    <x v="103"/>
    <x v="1"/>
    <x v="0"/>
    <x v="0"/>
    <n v="2"/>
    <n v="500"/>
    <x v="1"/>
  </r>
  <r>
    <n v="105"/>
    <x v="87"/>
    <x v="104"/>
    <x v="1"/>
    <x v="11"/>
    <x v="2"/>
    <n v="1"/>
    <n v="500"/>
    <x v="3"/>
  </r>
  <r>
    <n v="106"/>
    <x v="88"/>
    <x v="105"/>
    <x v="1"/>
    <x v="6"/>
    <x v="1"/>
    <n v="1"/>
    <n v="50"/>
    <x v="5"/>
  </r>
  <r>
    <n v="107"/>
    <x v="89"/>
    <x v="106"/>
    <x v="1"/>
    <x v="34"/>
    <x v="1"/>
    <n v="4"/>
    <n v="300"/>
    <x v="14"/>
  </r>
  <r>
    <n v="108"/>
    <x v="90"/>
    <x v="107"/>
    <x v="1"/>
    <x v="15"/>
    <x v="0"/>
    <n v="3"/>
    <n v="25"/>
    <x v="8"/>
  </r>
  <r>
    <n v="109"/>
    <x v="91"/>
    <x v="108"/>
    <x v="1"/>
    <x v="0"/>
    <x v="2"/>
    <n v="4"/>
    <n v="500"/>
    <x v="11"/>
  </r>
  <r>
    <n v="110"/>
    <x v="86"/>
    <x v="109"/>
    <x v="0"/>
    <x v="15"/>
    <x v="1"/>
    <n v="3"/>
    <n v="300"/>
    <x v="12"/>
  </r>
  <r>
    <n v="111"/>
    <x v="90"/>
    <x v="110"/>
    <x v="1"/>
    <x v="0"/>
    <x v="2"/>
    <n v="3"/>
    <n v="500"/>
    <x v="9"/>
  </r>
  <r>
    <n v="112"/>
    <x v="92"/>
    <x v="111"/>
    <x v="0"/>
    <x v="3"/>
    <x v="1"/>
    <n v="3"/>
    <n v="500"/>
    <x v="9"/>
  </r>
  <r>
    <n v="113"/>
    <x v="93"/>
    <x v="112"/>
    <x v="1"/>
    <x v="41"/>
    <x v="2"/>
    <n v="2"/>
    <n v="25"/>
    <x v="5"/>
  </r>
  <r>
    <n v="114"/>
    <x v="94"/>
    <x v="113"/>
    <x v="1"/>
    <x v="11"/>
    <x v="0"/>
    <n v="4"/>
    <n v="25"/>
    <x v="4"/>
  </r>
  <r>
    <n v="115"/>
    <x v="95"/>
    <x v="114"/>
    <x v="0"/>
    <x v="25"/>
    <x v="1"/>
    <n v="3"/>
    <n v="500"/>
    <x v="9"/>
  </r>
  <r>
    <n v="116"/>
    <x v="96"/>
    <x v="115"/>
    <x v="1"/>
    <x v="9"/>
    <x v="1"/>
    <n v="1"/>
    <n v="30"/>
    <x v="2"/>
  </r>
  <r>
    <n v="117"/>
    <x v="97"/>
    <x v="116"/>
    <x v="0"/>
    <x v="14"/>
    <x v="2"/>
    <n v="2"/>
    <n v="500"/>
    <x v="1"/>
  </r>
  <r>
    <n v="118"/>
    <x v="42"/>
    <x v="117"/>
    <x v="1"/>
    <x v="4"/>
    <x v="2"/>
    <n v="4"/>
    <n v="500"/>
    <x v="11"/>
  </r>
  <r>
    <n v="119"/>
    <x v="6"/>
    <x v="118"/>
    <x v="1"/>
    <x v="43"/>
    <x v="1"/>
    <n v="3"/>
    <n v="50"/>
    <x v="0"/>
  </r>
  <r>
    <n v="120"/>
    <x v="98"/>
    <x v="119"/>
    <x v="0"/>
    <x v="43"/>
    <x v="0"/>
    <n v="1"/>
    <n v="50"/>
    <x v="5"/>
  </r>
  <r>
    <n v="121"/>
    <x v="21"/>
    <x v="120"/>
    <x v="1"/>
    <x v="20"/>
    <x v="2"/>
    <n v="4"/>
    <n v="50"/>
    <x v="7"/>
  </r>
  <r>
    <n v="122"/>
    <x v="99"/>
    <x v="121"/>
    <x v="0"/>
    <x v="12"/>
    <x v="2"/>
    <n v="4"/>
    <n v="30"/>
    <x v="10"/>
  </r>
  <r>
    <n v="123"/>
    <x v="100"/>
    <x v="122"/>
    <x v="1"/>
    <x v="30"/>
    <x v="2"/>
    <n v="2"/>
    <n v="30"/>
    <x v="17"/>
  </r>
  <r>
    <n v="124"/>
    <x v="101"/>
    <x v="123"/>
    <x v="0"/>
    <x v="44"/>
    <x v="1"/>
    <n v="4"/>
    <n v="500"/>
    <x v="11"/>
  </r>
  <r>
    <n v="125"/>
    <x v="102"/>
    <x v="124"/>
    <x v="0"/>
    <x v="27"/>
    <x v="1"/>
    <n v="2"/>
    <n v="50"/>
    <x v="4"/>
  </r>
  <r>
    <n v="126"/>
    <x v="103"/>
    <x v="125"/>
    <x v="1"/>
    <x v="20"/>
    <x v="1"/>
    <n v="3"/>
    <n v="30"/>
    <x v="15"/>
  </r>
  <r>
    <n v="127"/>
    <x v="104"/>
    <x v="126"/>
    <x v="1"/>
    <x v="44"/>
    <x v="1"/>
    <n v="2"/>
    <n v="25"/>
    <x v="5"/>
  </r>
  <r>
    <n v="128"/>
    <x v="53"/>
    <x v="127"/>
    <x v="0"/>
    <x v="36"/>
    <x v="0"/>
    <n v="1"/>
    <n v="500"/>
    <x v="3"/>
  </r>
  <r>
    <n v="129"/>
    <x v="26"/>
    <x v="128"/>
    <x v="1"/>
    <x v="34"/>
    <x v="0"/>
    <n v="2"/>
    <n v="300"/>
    <x v="6"/>
  </r>
  <r>
    <n v="130"/>
    <x v="105"/>
    <x v="129"/>
    <x v="1"/>
    <x v="35"/>
    <x v="1"/>
    <n v="1"/>
    <n v="500"/>
    <x v="3"/>
  </r>
  <r>
    <n v="131"/>
    <x v="106"/>
    <x v="130"/>
    <x v="1"/>
    <x v="34"/>
    <x v="0"/>
    <n v="2"/>
    <n v="300"/>
    <x v="6"/>
  </r>
  <r>
    <n v="132"/>
    <x v="107"/>
    <x v="131"/>
    <x v="0"/>
    <x v="13"/>
    <x v="2"/>
    <n v="4"/>
    <n v="50"/>
    <x v="7"/>
  </r>
  <r>
    <n v="133"/>
    <x v="108"/>
    <x v="132"/>
    <x v="0"/>
    <x v="29"/>
    <x v="2"/>
    <n v="3"/>
    <n v="300"/>
    <x v="12"/>
  </r>
  <r>
    <n v="134"/>
    <x v="109"/>
    <x v="133"/>
    <x v="0"/>
    <x v="19"/>
    <x v="2"/>
    <n v="1"/>
    <n v="50"/>
    <x v="5"/>
  </r>
  <r>
    <n v="135"/>
    <x v="110"/>
    <x v="134"/>
    <x v="0"/>
    <x v="29"/>
    <x v="1"/>
    <n v="2"/>
    <n v="25"/>
    <x v="5"/>
  </r>
  <r>
    <n v="136"/>
    <x v="111"/>
    <x v="135"/>
    <x v="0"/>
    <x v="24"/>
    <x v="2"/>
    <n v="2"/>
    <n v="300"/>
    <x v="6"/>
  </r>
  <r>
    <n v="137"/>
    <x v="51"/>
    <x v="136"/>
    <x v="0"/>
    <x v="6"/>
    <x v="0"/>
    <n v="2"/>
    <n v="500"/>
    <x v="1"/>
  </r>
  <r>
    <n v="138"/>
    <x v="31"/>
    <x v="137"/>
    <x v="0"/>
    <x v="19"/>
    <x v="1"/>
    <n v="4"/>
    <n v="50"/>
    <x v="7"/>
  </r>
  <r>
    <n v="139"/>
    <x v="112"/>
    <x v="138"/>
    <x v="0"/>
    <x v="32"/>
    <x v="0"/>
    <n v="4"/>
    <n v="500"/>
    <x v="11"/>
  </r>
  <r>
    <n v="140"/>
    <x v="12"/>
    <x v="139"/>
    <x v="0"/>
    <x v="21"/>
    <x v="2"/>
    <n v="1"/>
    <n v="30"/>
    <x v="2"/>
  </r>
  <r>
    <n v="141"/>
    <x v="113"/>
    <x v="140"/>
    <x v="1"/>
    <x v="11"/>
    <x v="2"/>
    <n v="1"/>
    <n v="50"/>
    <x v="5"/>
  </r>
  <r>
    <n v="142"/>
    <x v="114"/>
    <x v="141"/>
    <x v="0"/>
    <x v="10"/>
    <x v="2"/>
    <n v="4"/>
    <n v="300"/>
    <x v="14"/>
  </r>
  <r>
    <n v="143"/>
    <x v="115"/>
    <x v="142"/>
    <x v="1"/>
    <x v="5"/>
    <x v="1"/>
    <n v="1"/>
    <n v="50"/>
    <x v="5"/>
  </r>
  <r>
    <n v="144"/>
    <x v="116"/>
    <x v="143"/>
    <x v="1"/>
    <x v="42"/>
    <x v="0"/>
    <n v="3"/>
    <n v="500"/>
    <x v="9"/>
  </r>
  <r>
    <n v="145"/>
    <x v="113"/>
    <x v="144"/>
    <x v="1"/>
    <x v="23"/>
    <x v="1"/>
    <n v="3"/>
    <n v="25"/>
    <x v="8"/>
  </r>
  <r>
    <n v="146"/>
    <x v="117"/>
    <x v="145"/>
    <x v="0"/>
    <x v="21"/>
    <x v="1"/>
    <n v="4"/>
    <n v="50"/>
    <x v="7"/>
  </r>
  <r>
    <n v="147"/>
    <x v="118"/>
    <x v="146"/>
    <x v="0"/>
    <x v="9"/>
    <x v="2"/>
    <n v="1"/>
    <n v="300"/>
    <x v="13"/>
  </r>
  <r>
    <n v="148"/>
    <x v="119"/>
    <x v="147"/>
    <x v="0"/>
    <x v="18"/>
    <x v="1"/>
    <n v="2"/>
    <n v="30"/>
    <x v="17"/>
  </r>
  <r>
    <n v="149"/>
    <x v="120"/>
    <x v="148"/>
    <x v="0"/>
    <x v="11"/>
    <x v="1"/>
    <n v="3"/>
    <n v="25"/>
    <x v="8"/>
  </r>
  <r>
    <n v="150"/>
    <x v="121"/>
    <x v="149"/>
    <x v="1"/>
    <x v="26"/>
    <x v="2"/>
    <n v="4"/>
    <n v="30"/>
    <x v="10"/>
  </r>
  <r>
    <n v="151"/>
    <x v="112"/>
    <x v="150"/>
    <x v="0"/>
    <x v="38"/>
    <x v="1"/>
    <n v="1"/>
    <n v="50"/>
    <x v="5"/>
  </r>
  <r>
    <n v="152"/>
    <x v="122"/>
    <x v="151"/>
    <x v="0"/>
    <x v="22"/>
    <x v="2"/>
    <n v="4"/>
    <n v="500"/>
    <x v="11"/>
  </r>
  <r>
    <n v="153"/>
    <x v="72"/>
    <x v="152"/>
    <x v="0"/>
    <x v="7"/>
    <x v="2"/>
    <n v="2"/>
    <n v="500"/>
    <x v="1"/>
  </r>
  <r>
    <n v="154"/>
    <x v="45"/>
    <x v="153"/>
    <x v="0"/>
    <x v="25"/>
    <x v="2"/>
    <n v="3"/>
    <n v="300"/>
    <x v="12"/>
  </r>
  <r>
    <n v="155"/>
    <x v="71"/>
    <x v="154"/>
    <x v="0"/>
    <x v="33"/>
    <x v="2"/>
    <n v="4"/>
    <n v="500"/>
    <x v="11"/>
  </r>
  <r>
    <n v="156"/>
    <x v="123"/>
    <x v="155"/>
    <x v="1"/>
    <x v="22"/>
    <x v="1"/>
    <n v="4"/>
    <n v="25"/>
    <x v="4"/>
  </r>
  <r>
    <n v="157"/>
    <x v="33"/>
    <x v="156"/>
    <x v="0"/>
    <x v="17"/>
    <x v="2"/>
    <n v="4"/>
    <n v="500"/>
    <x v="11"/>
  </r>
  <r>
    <n v="158"/>
    <x v="1"/>
    <x v="157"/>
    <x v="1"/>
    <x v="24"/>
    <x v="2"/>
    <n v="2"/>
    <n v="300"/>
    <x v="6"/>
  </r>
  <r>
    <n v="159"/>
    <x v="50"/>
    <x v="158"/>
    <x v="0"/>
    <x v="1"/>
    <x v="1"/>
    <n v="4"/>
    <n v="50"/>
    <x v="7"/>
  </r>
  <r>
    <n v="160"/>
    <x v="124"/>
    <x v="159"/>
    <x v="1"/>
    <x v="22"/>
    <x v="1"/>
    <n v="2"/>
    <n v="50"/>
    <x v="4"/>
  </r>
  <r>
    <n v="161"/>
    <x v="125"/>
    <x v="160"/>
    <x v="0"/>
    <x v="12"/>
    <x v="0"/>
    <n v="2"/>
    <n v="500"/>
    <x v="1"/>
  </r>
  <r>
    <n v="162"/>
    <x v="63"/>
    <x v="161"/>
    <x v="0"/>
    <x v="23"/>
    <x v="1"/>
    <n v="2"/>
    <n v="30"/>
    <x v="17"/>
  </r>
  <r>
    <n v="163"/>
    <x v="126"/>
    <x v="162"/>
    <x v="1"/>
    <x v="12"/>
    <x v="1"/>
    <n v="3"/>
    <n v="50"/>
    <x v="0"/>
  </r>
  <r>
    <n v="164"/>
    <x v="100"/>
    <x v="163"/>
    <x v="1"/>
    <x v="16"/>
    <x v="0"/>
    <n v="3"/>
    <n v="500"/>
    <x v="9"/>
  </r>
  <r>
    <n v="165"/>
    <x v="127"/>
    <x v="164"/>
    <x v="1"/>
    <x v="43"/>
    <x v="1"/>
    <n v="4"/>
    <n v="300"/>
    <x v="14"/>
  </r>
  <r>
    <n v="166"/>
    <x v="128"/>
    <x v="165"/>
    <x v="0"/>
    <x v="0"/>
    <x v="1"/>
    <n v="4"/>
    <n v="500"/>
    <x v="11"/>
  </r>
  <r>
    <n v="167"/>
    <x v="129"/>
    <x v="166"/>
    <x v="1"/>
    <x v="22"/>
    <x v="1"/>
    <n v="3"/>
    <n v="50"/>
    <x v="0"/>
  </r>
  <r>
    <n v="168"/>
    <x v="130"/>
    <x v="167"/>
    <x v="0"/>
    <x v="45"/>
    <x v="1"/>
    <n v="1"/>
    <n v="300"/>
    <x v="13"/>
  </r>
  <r>
    <n v="169"/>
    <x v="131"/>
    <x v="168"/>
    <x v="0"/>
    <x v="18"/>
    <x v="0"/>
    <n v="3"/>
    <n v="500"/>
    <x v="9"/>
  </r>
  <r>
    <n v="170"/>
    <x v="132"/>
    <x v="169"/>
    <x v="1"/>
    <x v="36"/>
    <x v="1"/>
    <n v="2"/>
    <n v="25"/>
    <x v="5"/>
  </r>
  <r>
    <n v="171"/>
    <x v="0"/>
    <x v="170"/>
    <x v="1"/>
    <x v="8"/>
    <x v="1"/>
    <n v="3"/>
    <n v="300"/>
    <x v="12"/>
  </r>
  <r>
    <n v="172"/>
    <x v="129"/>
    <x v="171"/>
    <x v="0"/>
    <x v="40"/>
    <x v="0"/>
    <n v="2"/>
    <n v="25"/>
    <x v="5"/>
  </r>
  <r>
    <n v="173"/>
    <x v="75"/>
    <x v="172"/>
    <x v="0"/>
    <x v="12"/>
    <x v="2"/>
    <n v="4"/>
    <n v="30"/>
    <x v="10"/>
  </r>
  <r>
    <n v="174"/>
    <x v="22"/>
    <x v="173"/>
    <x v="1"/>
    <x v="23"/>
    <x v="0"/>
    <n v="1"/>
    <n v="300"/>
    <x v="13"/>
  </r>
  <r>
    <n v="175"/>
    <x v="111"/>
    <x v="174"/>
    <x v="1"/>
    <x v="33"/>
    <x v="2"/>
    <n v="4"/>
    <n v="25"/>
    <x v="4"/>
  </r>
  <r>
    <n v="176"/>
    <x v="133"/>
    <x v="175"/>
    <x v="1"/>
    <x v="22"/>
    <x v="0"/>
    <n v="2"/>
    <n v="50"/>
    <x v="4"/>
  </r>
  <r>
    <n v="177"/>
    <x v="134"/>
    <x v="176"/>
    <x v="0"/>
    <x v="5"/>
    <x v="0"/>
    <n v="2"/>
    <n v="50"/>
    <x v="4"/>
  </r>
  <r>
    <n v="178"/>
    <x v="135"/>
    <x v="177"/>
    <x v="0"/>
    <x v="30"/>
    <x v="1"/>
    <n v="2"/>
    <n v="30"/>
    <x v="17"/>
  </r>
  <r>
    <n v="179"/>
    <x v="136"/>
    <x v="178"/>
    <x v="0"/>
    <x v="33"/>
    <x v="2"/>
    <n v="1"/>
    <n v="300"/>
    <x v="13"/>
  </r>
  <r>
    <n v="180"/>
    <x v="137"/>
    <x v="179"/>
    <x v="0"/>
    <x v="41"/>
    <x v="1"/>
    <n v="3"/>
    <n v="300"/>
    <x v="12"/>
  </r>
  <r>
    <n v="181"/>
    <x v="138"/>
    <x v="180"/>
    <x v="0"/>
    <x v="14"/>
    <x v="2"/>
    <n v="4"/>
    <n v="300"/>
    <x v="14"/>
  </r>
  <r>
    <n v="182"/>
    <x v="139"/>
    <x v="181"/>
    <x v="0"/>
    <x v="17"/>
    <x v="0"/>
    <n v="4"/>
    <n v="30"/>
    <x v="10"/>
  </r>
  <r>
    <n v="183"/>
    <x v="140"/>
    <x v="182"/>
    <x v="1"/>
    <x v="22"/>
    <x v="0"/>
    <n v="3"/>
    <n v="300"/>
    <x v="12"/>
  </r>
  <r>
    <n v="184"/>
    <x v="141"/>
    <x v="183"/>
    <x v="0"/>
    <x v="33"/>
    <x v="2"/>
    <n v="4"/>
    <n v="50"/>
    <x v="7"/>
  </r>
  <r>
    <n v="185"/>
    <x v="1"/>
    <x v="184"/>
    <x v="0"/>
    <x v="46"/>
    <x v="1"/>
    <n v="1"/>
    <n v="25"/>
    <x v="16"/>
  </r>
  <r>
    <n v="186"/>
    <x v="53"/>
    <x v="185"/>
    <x v="0"/>
    <x v="29"/>
    <x v="1"/>
    <n v="4"/>
    <n v="50"/>
    <x v="7"/>
  </r>
  <r>
    <n v="187"/>
    <x v="142"/>
    <x v="186"/>
    <x v="1"/>
    <x v="12"/>
    <x v="1"/>
    <n v="2"/>
    <n v="50"/>
    <x v="4"/>
  </r>
  <r>
    <n v="188"/>
    <x v="143"/>
    <x v="187"/>
    <x v="0"/>
    <x v="30"/>
    <x v="1"/>
    <n v="3"/>
    <n v="25"/>
    <x v="8"/>
  </r>
  <r>
    <n v="189"/>
    <x v="144"/>
    <x v="188"/>
    <x v="0"/>
    <x v="7"/>
    <x v="0"/>
    <n v="1"/>
    <n v="50"/>
    <x v="5"/>
  </r>
  <r>
    <n v="190"/>
    <x v="145"/>
    <x v="189"/>
    <x v="1"/>
    <x v="43"/>
    <x v="0"/>
    <n v="3"/>
    <n v="30"/>
    <x v="15"/>
  </r>
  <r>
    <n v="191"/>
    <x v="91"/>
    <x v="190"/>
    <x v="0"/>
    <x v="12"/>
    <x v="0"/>
    <n v="1"/>
    <n v="25"/>
    <x v="16"/>
  </r>
  <r>
    <n v="192"/>
    <x v="48"/>
    <x v="191"/>
    <x v="0"/>
    <x v="17"/>
    <x v="0"/>
    <n v="2"/>
    <n v="50"/>
    <x v="4"/>
  </r>
  <r>
    <n v="193"/>
    <x v="146"/>
    <x v="192"/>
    <x v="0"/>
    <x v="10"/>
    <x v="0"/>
    <n v="3"/>
    <n v="500"/>
    <x v="9"/>
  </r>
  <r>
    <n v="194"/>
    <x v="147"/>
    <x v="193"/>
    <x v="0"/>
    <x v="28"/>
    <x v="1"/>
    <n v="4"/>
    <n v="50"/>
    <x v="7"/>
  </r>
  <r>
    <n v="195"/>
    <x v="57"/>
    <x v="194"/>
    <x v="0"/>
    <x v="8"/>
    <x v="1"/>
    <n v="1"/>
    <n v="30"/>
    <x v="2"/>
  </r>
  <r>
    <n v="196"/>
    <x v="148"/>
    <x v="195"/>
    <x v="1"/>
    <x v="40"/>
    <x v="1"/>
    <n v="3"/>
    <n v="300"/>
    <x v="12"/>
  </r>
  <r>
    <n v="197"/>
    <x v="149"/>
    <x v="196"/>
    <x v="1"/>
    <x v="13"/>
    <x v="1"/>
    <n v="4"/>
    <n v="50"/>
    <x v="7"/>
  </r>
  <r>
    <n v="198"/>
    <x v="150"/>
    <x v="197"/>
    <x v="1"/>
    <x v="31"/>
    <x v="0"/>
    <n v="3"/>
    <n v="300"/>
    <x v="12"/>
  </r>
  <r>
    <n v="199"/>
    <x v="151"/>
    <x v="198"/>
    <x v="0"/>
    <x v="5"/>
    <x v="0"/>
    <n v="3"/>
    <n v="500"/>
    <x v="9"/>
  </r>
  <r>
    <n v="200"/>
    <x v="152"/>
    <x v="199"/>
    <x v="0"/>
    <x v="15"/>
    <x v="0"/>
    <n v="3"/>
    <n v="50"/>
    <x v="0"/>
  </r>
  <r>
    <n v="201"/>
    <x v="153"/>
    <x v="200"/>
    <x v="0"/>
    <x v="37"/>
    <x v="2"/>
    <n v="1"/>
    <n v="25"/>
    <x v="16"/>
  </r>
  <r>
    <n v="202"/>
    <x v="154"/>
    <x v="201"/>
    <x v="1"/>
    <x v="0"/>
    <x v="1"/>
    <n v="4"/>
    <n v="300"/>
    <x v="14"/>
  </r>
  <r>
    <n v="203"/>
    <x v="42"/>
    <x v="202"/>
    <x v="0"/>
    <x v="37"/>
    <x v="1"/>
    <n v="2"/>
    <n v="500"/>
    <x v="1"/>
  </r>
  <r>
    <n v="204"/>
    <x v="118"/>
    <x v="203"/>
    <x v="0"/>
    <x v="23"/>
    <x v="0"/>
    <n v="1"/>
    <n v="25"/>
    <x v="16"/>
  </r>
  <r>
    <n v="205"/>
    <x v="155"/>
    <x v="204"/>
    <x v="1"/>
    <x v="22"/>
    <x v="1"/>
    <n v="1"/>
    <n v="25"/>
    <x v="16"/>
  </r>
  <r>
    <n v="206"/>
    <x v="12"/>
    <x v="205"/>
    <x v="0"/>
    <x v="39"/>
    <x v="1"/>
    <n v="1"/>
    <n v="25"/>
    <x v="16"/>
  </r>
  <r>
    <n v="207"/>
    <x v="90"/>
    <x v="206"/>
    <x v="1"/>
    <x v="13"/>
    <x v="0"/>
    <n v="2"/>
    <n v="25"/>
    <x v="5"/>
  </r>
  <r>
    <n v="208"/>
    <x v="135"/>
    <x v="207"/>
    <x v="1"/>
    <x v="0"/>
    <x v="2"/>
    <n v="4"/>
    <n v="50"/>
    <x v="7"/>
  </r>
  <r>
    <n v="209"/>
    <x v="156"/>
    <x v="208"/>
    <x v="1"/>
    <x v="4"/>
    <x v="2"/>
    <n v="4"/>
    <n v="50"/>
    <x v="7"/>
  </r>
  <r>
    <n v="210"/>
    <x v="157"/>
    <x v="209"/>
    <x v="0"/>
    <x v="3"/>
    <x v="2"/>
    <n v="4"/>
    <n v="50"/>
    <x v="7"/>
  </r>
  <r>
    <n v="211"/>
    <x v="158"/>
    <x v="210"/>
    <x v="0"/>
    <x v="13"/>
    <x v="0"/>
    <n v="3"/>
    <n v="500"/>
    <x v="9"/>
  </r>
  <r>
    <n v="212"/>
    <x v="159"/>
    <x v="211"/>
    <x v="0"/>
    <x v="34"/>
    <x v="1"/>
    <n v="3"/>
    <n v="500"/>
    <x v="9"/>
  </r>
  <r>
    <n v="213"/>
    <x v="104"/>
    <x v="212"/>
    <x v="0"/>
    <x v="15"/>
    <x v="0"/>
    <n v="3"/>
    <n v="500"/>
    <x v="9"/>
  </r>
  <r>
    <n v="214"/>
    <x v="70"/>
    <x v="213"/>
    <x v="0"/>
    <x v="29"/>
    <x v="0"/>
    <n v="2"/>
    <n v="30"/>
    <x v="17"/>
  </r>
  <r>
    <n v="215"/>
    <x v="23"/>
    <x v="214"/>
    <x v="0"/>
    <x v="26"/>
    <x v="1"/>
    <n v="3"/>
    <n v="500"/>
    <x v="9"/>
  </r>
  <r>
    <n v="216"/>
    <x v="133"/>
    <x v="215"/>
    <x v="0"/>
    <x v="17"/>
    <x v="2"/>
    <n v="2"/>
    <n v="50"/>
    <x v="4"/>
  </r>
  <r>
    <n v="217"/>
    <x v="160"/>
    <x v="216"/>
    <x v="1"/>
    <x v="10"/>
    <x v="2"/>
    <n v="4"/>
    <n v="50"/>
    <x v="7"/>
  </r>
  <r>
    <n v="218"/>
    <x v="161"/>
    <x v="217"/>
    <x v="0"/>
    <x v="12"/>
    <x v="0"/>
    <n v="3"/>
    <n v="30"/>
    <x v="15"/>
  </r>
  <r>
    <n v="219"/>
    <x v="162"/>
    <x v="218"/>
    <x v="1"/>
    <x v="45"/>
    <x v="2"/>
    <n v="3"/>
    <n v="30"/>
    <x v="15"/>
  </r>
  <r>
    <n v="220"/>
    <x v="163"/>
    <x v="219"/>
    <x v="0"/>
    <x v="12"/>
    <x v="0"/>
    <n v="1"/>
    <n v="500"/>
    <x v="3"/>
  </r>
  <r>
    <n v="221"/>
    <x v="98"/>
    <x v="220"/>
    <x v="0"/>
    <x v="23"/>
    <x v="0"/>
    <n v="2"/>
    <n v="300"/>
    <x v="6"/>
  </r>
  <r>
    <n v="222"/>
    <x v="164"/>
    <x v="221"/>
    <x v="0"/>
    <x v="25"/>
    <x v="1"/>
    <n v="4"/>
    <n v="30"/>
    <x v="10"/>
  </r>
  <r>
    <n v="223"/>
    <x v="114"/>
    <x v="222"/>
    <x v="1"/>
    <x v="12"/>
    <x v="1"/>
    <n v="1"/>
    <n v="25"/>
    <x v="16"/>
  </r>
  <r>
    <n v="224"/>
    <x v="165"/>
    <x v="223"/>
    <x v="1"/>
    <x v="36"/>
    <x v="1"/>
    <n v="1"/>
    <n v="50"/>
    <x v="5"/>
  </r>
  <r>
    <n v="225"/>
    <x v="166"/>
    <x v="224"/>
    <x v="1"/>
    <x v="35"/>
    <x v="0"/>
    <n v="4"/>
    <n v="25"/>
    <x v="4"/>
  </r>
  <r>
    <n v="226"/>
    <x v="28"/>
    <x v="225"/>
    <x v="1"/>
    <x v="39"/>
    <x v="1"/>
    <n v="1"/>
    <n v="50"/>
    <x v="5"/>
  </r>
  <r>
    <n v="227"/>
    <x v="120"/>
    <x v="226"/>
    <x v="0"/>
    <x v="32"/>
    <x v="2"/>
    <n v="2"/>
    <n v="50"/>
    <x v="4"/>
  </r>
  <r>
    <n v="228"/>
    <x v="85"/>
    <x v="227"/>
    <x v="1"/>
    <x v="42"/>
    <x v="2"/>
    <n v="2"/>
    <n v="30"/>
    <x v="17"/>
  </r>
  <r>
    <n v="229"/>
    <x v="28"/>
    <x v="228"/>
    <x v="0"/>
    <x v="26"/>
    <x v="0"/>
    <n v="3"/>
    <n v="30"/>
    <x v="15"/>
  </r>
  <r>
    <n v="230"/>
    <x v="26"/>
    <x v="229"/>
    <x v="0"/>
    <x v="31"/>
    <x v="0"/>
    <n v="1"/>
    <n v="25"/>
    <x v="16"/>
  </r>
  <r>
    <n v="231"/>
    <x v="30"/>
    <x v="230"/>
    <x v="1"/>
    <x v="9"/>
    <x v="1"/>
    <n v="3"/>
    <n v="50"/>
    <x v="0"/>
  </r>
  <r>
    <n v="232"/>
    <x v="74"/>
    <x v="231"/>
    <x v="1"/>
    <x v="22"/>
    <x v="0"/>
    <n v="1"/>
    <n v="25"/>
    <x v="16"/>
  </r>
  <r>
    <n v="233"/>
    <x v="167"/>
    <x v="232"/>
    <x v="1"/>
    <x v="25"/>
    <x v="0"/>
    <n v="2"/>
    <n v="300"/>
    <x v="6"/>
  </r>
  <r>
    <n v="234"/>
    <x v="168"/>
    <x v="233"/>
    <x v="1"/>
    <x v="17"/>
    <x v="2"/>
    <n v="2"/>
    <n v="25"/>
    <x v="5"/>
  </r>
  <r>
    <n v="235"/>
    <x v="169"/>
    <x v="234"/>
    <x v="1"/>
    <x v="9"/>
    <x v="2"/>
    <n v="2"/>
    <n v="500"/>
    <x v="1"/>
  </r>
  <r>
    <n v="236"/>
    <x v="85"/>
    <x v="235"/>
    <x v="1"/>
    <x v="31"/>
    <x v="1"/>
    <n v="1"/>
    <n v="25"/>
    <x v="16"/>
  </r>
  <r>
    <n v="237"/>
    <x v="170"/>
    <x v="236"/>
    <x v="1"/>
    <x v="2"/>
    <x v="0"/>
    <n v="2"/>
    <n v="500"/>
    <x v="1"/>
  </r>
  <r>
    <n v="238"/>
    <x v="13"/>
    <x v="237"/>
    <x v="1"/>
    <x v="23"/>
    <x v="0"/>
    <n v="1"/>
    <n v="500"/>
    <x v="3"/>
  </r>
  <r>
    <n v="239"/>
    <x v="171"/>
    <x v="238"/>
    <x v="0"/>
    <x v="21"/>
    <x v="2"/>
    <n v="3"/>
    <n v="500"/>
    <x v="9"/>
  </r>
  <r>
    <n v="240"/>
    <x v="74"/>
    <x v="239"/>
    <x v="1"/>
    <x v="9"/>
    <x v="0"/>
    <n v="1"/>
    <n v="300"/>
    <x v="13"/>
  </r>
  <r>
    <n v="241"/>
    <x v="172"/>
    <x v="240"/>
    <x v="1"/>
    <x v="9"/>
    <x v="2"/>
    <n v="3"/>
    <n v="25"/>
    <x v="8"/>
  </r>
  <r>
    <n v="242"/>
    <x v="173"/>
    <x v="241"/>
    <x v="0"/>
    <x v="34"/>
    <x v="1"/>
    <n v="1"/>
    <n v="25"/>
    <x v="16"/>
  </r>
  <r>
    <n v="243"/>
    <x v="29"/>
    <x v="242"/>
    <x v="1"/>
    <x v="16"/>
    <x v="2"/>
    <n v="3"/>
    <n v="300"/>
    <x v="12"/>
  </r>
  <r>
    <n v="244"/>
    <x v="174"/>
    <x v="243"/>
    <x v="0"/>
    <x v="20"/>
    <x v="0"/>
    <n v="2"/>
    <n v="50"/>
    <x v="4"/>
  </r>
  <r>
    <n v="245"/>
    <x v="147"/>
    <x v="244"/>
    <x v="0"/>
    <x v="16"/>
    <x v="1"/>
    <n v="3"/>
    <n v="30"/>
    <x v="15"/>
  </r>
  <r>
    <n v="246"/>
    <x v="175"/>
    <x v="245"/>
    <x v="1"/>
    <x v="27"/>
    <x v="2"/>
    <n v="2"/>
    <n v="25"/>
    <x v="5"/>
  </r>
  <r>
    <n v="247"/>
    <x v="135"/>
    <x v="246"/>
    <x v="0"/>
    <x v="41"/>
    <x v="2"/>
    <n v="2"/>
    <n v="30"/>
    <x v="17"/>
  </r>
  <r>
    <n v="248"/>
    <x v="176"/>
    <x v="247"/>
    <x v="0"/>
    <x v="1"/>
    <x v="1"/>
    <n v="3"/>
    <n v="300"/>
    <x v="12"/>
  </r>
  <r>
    <n v="249"/>
    <x v="177"/>
    <x v="248"/>
    <x v="0"/>
    <x v="29"/>
    <x v="1"/>
    <n v="1"/>
    <n v="50"/>
    <x v="5"/>
  </r>
  <r>
    <n v="250"/>
    <x v="54"/>
    <x v="249"/>
    <x v="0"/>
    <x v="27"/>
    <x v="2"/>
    <n v="1"/>
    <n v="50"/>
    <x v="5"/>
  </r>
  <r>
    <n v="251"/>
    <x v="178"/>
    <x v="250"/>
    <x v="1"/>
    <x v="35"/>
    <x v="0"/>
    <n v="4"/>
    <n v="50"/>
    <x v="7"/>
  </r>
  <r>
    <n v="252"/>
    <x v="179"/>
    <x v="251"/>
    <x v="0"/>
    <x v="31"/>
    <x v="2"/>
    <n v="1"/>
    <n v="300"/>
    <x v="13"/>
  </r>
  <r>
    <n v="253"/>
    <x v="178"/>
    <x v="252"/>
    <x v="1"/>
    <x v="45"/>
    <x v="1"/>
    <n v="4"/>
    <n v="500"/>
    <x v="11"/>
  </r>
  <r>
    <n v="254"/>
    <x v="180"/>
    <x v="253"/>
    <x v="0"/>
    <x v="41"/>
    <x v="2"/>
    <n v="1"/>
    <n v="500"/>
    <x v="3"/>
  </r>
  <r>
    <n v="255"/>
    <x v="181"/>
    <x v="254"/>
    <x v="0"/>
    <x v="27"/>
    <x v="1"/>
    <n v="1"/>
    <n v="30"/>
    <x v="2"/>
  </r>
  <r>
    <n v="256"/>
    <x v="182"/>
    <x v="255"/>
    <x v="0"/>
    <x v="9"/>
    <x v="1"/>
    <n v="2"/>
    <n v="500"/>
    <x v="1"/>
  </r>
  <r>
    <n v="257"/>
    <x v="38"/>
    <x v="256"/>
    <x v="0"/>
    <x v="14"/>
    <x v="0"/>
    <n v="4"/>
    <n v="500"/>
    <x v="11"/>
  </r>
  <r>
    <n v="258"/>
    <x v="151"/>
    <x v="257"/>
    <x v="1"/>
    <x v="3"/>
    <x v="1"/>
    <n v="1"/>
    <n v="50"/>
    <x v="5"/>
  </r>
  <r>
    <n v="259"/>
    <x v="183"/>
    <x v="258"/>
    <x v="1"/>
    <x v="5"/>
    <x v="1"/>
    <n v="4"/>
    <n v="50"/>
    <x v="7"/>
  </r>
  <r>
    <n v="260"/>
    <x v="68"/>
    <x v="259"/>
    <x v="0"/>
    <x v="20"/>
    <x v="0"/>
    <n v="2"/>
    <n v="30"/>
    <x v="17"/>
  </r>
  <r>
    <n v="261"/>
    <x v="12"/>
    <x v="260"/>
    <x v="0"/>
    <x v="34"/>
    <x v="1"/>
    <n v="2"/>
    <n v="25"/>
    <x v="5"/>
  </r>
  <r>
    <n v="262"/>
    <x v="184"/>
    <x v="261"/>
    <x v="1"/>
    <x v="40"/>
    <x v="0"/>
    <n v="4"/>
    <n v="30"/>
    <x v="10"/>
  </r>
  <r>
    <n v="263"/>
    <x v="117"/>
    <x v="262"/>
    <x v="0"/>
    <x v="9"/>
    <x v="0"/>
    <n v="2"/>
    <n v="30"/>
    <x v="17"/>
  </r>
  <r>
    <n v="264"/>
    <x v="185"/>
    <x v="263"/>
    <x v="0"/>
    <x v="16"/>
    <x v="1"/>
    <n v="3"/>
    <n v="300"/>
    <x v="12"/>
  </r>
  <r>
    <n v="265"/>
    <x v="186"/>
    <x v="264"/>
    <x v="0"/>
    <x v="28"/>
    <x v="1"/>
    <n v="3"/>
    <n v="300"/>
    <x v="12"/>
  </r>
  <r>
    <n v="266"/>
    <x v="187"/>
    <x v="265"/>
    <x v="1"/>
    <x v="14"/>
    <x v="2"/>
    <n v="2"/>
    <n v="30"/>
    <x v="17"/>
  </r>
  <r>
    <n v="267"/>
    <x v="188"/>
    <x v="266"/>
    <x v="1"/>
    <x v="40"/>
    <x v="0"/>
    <n v="3"/>
    <n v="30"/>
    <x v="15"/>
  </r>
  <r>
    <n v="268"/>
    <x v="189"/>
    <x v="267"/>
    <x v="1"/>
    <x v="20"/>
    <x v="2"/>
    <n v="1"/>
    <n v="30"/>
    <x v="2"/>
  </r>
  <r>
    <n v="269"/>
    <x v="190"/>
    <x v="268"/>
    <x v="0"/>
    <x v="36"/>
    <x v="1"/>
    <n v="4"/>
    <n v="500"/>
    <x v="11"/>
  </r>
  <r>
    <n v="270"/>
    <x v="191"/>
    <x v="269"/>
    <x v="0"/>
    <x v="22"/>
    <x v="2"/>
    <n v="1"/>
    <n v="300"/>
    <x v="13"/>
  </r>
  <r>
    <n v="271"/>
    <x v="165"/>
    <x v="270"/>
    <x v="1"/>
    <x v="17"/>
    <x v="0"/>
    <n v="4"/>
    <n v="30"/>
    <x v="10"/>
  </r>
  <r>
    <n v="272"/>
    <x v="192"/>
    <x v="271"/>
    <x v="1"/>
    <x v="39"/>
    <x v="2"/>
    <n v="2"/>
    <n v="50"/>
    <x v="4"/>
  </r>
  <r>
    <n v="273"/>
    <x v="193"/>
    <x v="272"/>
    <x v="1"/>
    <x v="11"/>
    <x v="0"/>
    <n v="1"/>
    <n v="50"/>
    <x v="5"/>
  </r>
  <r>
    <n v="274"/>
    <x v="55"/>
    <x v="273"/>
    <x v="1"/>
    <x v="9"/>
    <x v="1"/>
    <n v="2"/>
    <n v="500"/>
    <x v="1"/>
  </r>
  <r>
    <n v="275"/>
    <x v="181"/>
    <x v="274"/>
    <x v="0"/>
    <x v="22"/>
    <x v="1"/>
    <n v="2"/>
    <n v="500"/>
    <x v="1"/>
  </r>
  <r>
    <n v="276"/>
    <x v="45"/>
    <x v="275"/>
    <x v="1"/>
    <x v="34"/>
    <x v="0"/>
    <n v="4"/>
    <n v="25"/>
    <x v="4"/>
  </r>
  <r>
    <n v="277"/>
    <x v="27"/>
    <x v="276"/>
    <x v="0"/>
    <x v="32"/>
    <x v="1"/>
    <n v="4"/>
    <n v="25"/>
    <x v="4"/>
  </r>
  <r>
    <n v="278"/>
    <x v="6"/>
    <x v="277"/>
    <x v="1"/>
    <x v="3"/>
    <x v="1"/>
    <n v="4"/>
    <n v="25"/>
    <x v="4"/>
  </r>
  <r>
    <n v="279"/>
    <x v="12"/>
    <x v="278"/>
    <x v="0"/>
    <x v="2"/>
    <x v="1"/>
    <n v="1"/>
    <n v="500"/>
    <x v="3"/>
  </r>
  <r>
    <n v="280"/>
    <x v="194"/>
    <x v="279"/>
    <x v="1"/>
    <x v="3"/>
    <x v="1"/>
    <n v="3"/>
    <n v="500"/>
    <x v="9"/>
  </r>
  <r>
    <n v="281"/>
    <x v="29"/>
    <x v="280"/>
    <x v="1"/>
    <x v="38"/>
    <x v="0"/>
    <n v="4"/>
    <n v="500"/>
    <x v="11"/>
  </r>
  <r>
    <n v="282"/>
    <x v="78"/>
    <x v="281"/>
    <x v="1"/>
    <x v="12"/>
    <x v="2"/>
    <n v="4"/>
    <n v="50"/>
    <x v="7"/>
  </r>
  <r>
    <n v="283"/>
    <x v="193"/>
    <x v="282"/>
    <x v="1"/>
    <x v="18"/>
    <x v="2"/>
    <n v="1"/>
    <n v="500"/>
    <x v="3"/>
  </r>
  <r>
    <n v="284"/>
    <x v="195"/>
    <x v="283"/>
    <x v="0"/>
    <x v="22"/>
    <x v="1"/>
    <n v="4"/>
    <n v="50"/>
    <x v="7"/>
  </r>
  <r>
    <n v="285"/>
    <x v="196"/>
    <x v="284"/>
    <x v="1"/>
    <x v="33"/>
    <x v="2"/>
    <n v="1"/>
    <n v="25"/>
    <x v="16"/>
  </r>
  <r>
    <n v="286"/>
    <x v="153"/>
    <x v="285"/>
    <x v="0"/>
    <x v="28"/>
    <x v="2"/>
    <n v="2"/>
    <n v="25"/>
    <x v="5"/>
  </r>
  <r>
    <n v="287"/>
    <x v="189"/>
    <x v="286"/>
    <x v="0"/>
    <x v="31"/>
    <x v="1"/>
    <n v="4"/>
    <n v="25"/>
    <x v="4"/>
  </r>
  <r>
    <n v="288"/>
    <x v="197"/>
    <x v="287"/>
    <x v="0"/>
    <x v="20"/>
    <x v="1"/>
    <n v="4"/>
    <n v="30"/>
    <x v="10"/>
  </r>
  <r>
    <n v="289"/>
    <x v="198"/>
    <x v="288"/>
    <x v="0"/>
    <x v="45"/>
    <x v="2"/>
    <n v="2"/>
    <n v="30"/>
    <x v="17"/>
  </r>
  <r>
    <n v="290"/>
    <x v="135"/>
    <x v="289"/>
    <x v="1"/>
    <x v="4"/>
    <x v="0"/>
    <n v="2"/>
    <n v="300"/>
    <x v="6"/>
  </r>
  <r>
    <n v="291"/>
    <x v="199"/>
    <x v="290"/>
    <x v="0"/>
    <x v="43"/>
    <x v="1"/>
    <n v="2"/>
    <n v="300"/>
    <x v="6"/>
  </r>
  <r>
    <n v="292"/>
    <x v="15"/>
    <x v="291"/>
    <x v="0"/>
    <x v="29"/>
    <x v="0"/>
    <n v="4"/>
    <n v="300"/>
    <x v="14"/>
  </r>
  <r>
    <n v="293"/>
    <x v="173"/>
    <x v="292"/>
    <x v="0"/>
    <x v="2"/>
    <x v="2"/>
    <n v="3"/>
    <n v="30"/>
    <x v="15"/>
  </r>
  <r>
    <n v="294"/>
    <x v="200"/>
    <x v="293"/>
    <x v="1"/>
    <x v="9"/>
    <x v="1"/>
    <n v="3"/>
    <n v="30"/>
    <x v="15"/>
  </r>
  <r>
    <n v="295"/>
    <x v="180"/>
    <x v="294"/>
    <x v="1"/>
    <x v="15"/>
    <x v="0"/>
    <n v="3"/>
    <n v="300"/>
    <x v="12"/>
  </r>
  <r>
    <n v="296"/>
    <x v="147"/>
    <x v="295"/>
    <x v="1"/>
    <x v="11"/>
    <x v="1"/>
    <n v="4"/>
    <n v="300"/>
    <x v="14"/>
  </r>
  <r>
    <n v="297"/>
    <x v="201"/>
    <x v="296"/>
    <x v="1"/>
    <x v="30"/>
    <x v="2"/>
    <n v="2"/>
    <n v="500"/>
    <x v="1"/>
  </r>
  <r>
    <n v="298"/>
    <x v="175"/>
    <x v="297"/>
    <x v="0"/>
    <x v="15"/>
    <x v="0"/>
    <n v="4"/>
    <n v="300"/>
    <x v="14"/>
  </r>
  <r>
    <n v="299"/>
    <x v="87"/>
    <x v="298"/>
    <x v="0"/>
    <x v="39"/>
    <x v="2"/>
    <n v="2"/>
    <n v="500"/>
    <x v="1"/>
  </r>
  <r>
    <n v="300"/>
    <x v="169"/>
    <x v="299"/>
    <x v="1"/>
    <x v="14"/>
    <x v="2"/>
    <n v="4"/>
    <n v="50"/>
    <x v="7"/>
  </r>
  <r>
    <n v="301"/>
    <x v="154"/>
    <x v="300"/>
    <x v="0"/>
    <x v="4"/>
    <x v="1"/>
    <n v="4"/>
    <n v="30"/>
    <x v="10"/>
  </r>
  <r>
    <n v="302"/>
    <x v="37"/>
    <x v="301"/>
    <x v="0"/>
    <x v="35"/>
    <x v="0"/>
    <n v="2"/>
    <n v="300"/>
    <x v="6"/>
  </r>
  <r>
    <n v="303"/>
    <x v="126"/>
    <x v="302"/>
    <x v="0"/>
    <x v="14"/>
    <x v="2"/>
    <n v="3"/>
    <n v="30"/>
    <x v="15"/>
  </r>
  <r>
    <n v="304"/>
    <x v="202"/>
    <x v="303"/>
    <x v="1"/>
    <x v="3"/>
    <x v="2"/>
    <n v="2"/>
    <n v="30"/>
    <x v="17"/>
  </r>
  <r>
    <n v="305"/>
    <x v="42"/>
    <x v="304"/>
    <x v="1"/>
    <x v="18"/>
    <x v="0"/>
    <n v="1"/>
    <n v="30"/>
    <x v="2"/>
  </r>
  <r>
    <n v="306"/>
    <x v="63"/>
    <x v="305"/>
    <x v="0"/>
    <x v="31"/>
    <x v="2"/>
    <n v="1"/>
    <n v="50"/>
    <x v="5"/>
  </r>
  <r>
    <n v="307"/>
    <x v="203"/>
    <x v="306"/>
    <x v="1"/>
    <x v="1"/>
    <x v="2"/>
    <n v="2"/>
    <n v="25"/>
    <x v="5"/>
  </r>
  <r>
    <n v="308"/>
    <x v="12"/>
    <x v="307"/>
    <x v="1"/>
    <x v="0"/>
    <x v="0"/>
    <n v="4"/>
    <n v="300"/>
    <x v="14"/>
  </r>
  <r>
    <n v="309"/>
    <x v="204"/>
    <x v="308"/>
    <x v="1"/>
    <x v="1"/>
    <x v="0"/>
    <n v="1"/>
    <n v="25"/>
    <x v="16"/>
  </r>
  <r>
    <n v="310"/>
    <x v="205"/>
    <x v="309"/>
    <x v="1"/>
    <x v="20"/>
    <x v="0"/>
    <n v="1"/>
    <n v="25"/>
    <x v="16"/>
  </r>
  <r>
    <n v="311"/>
    <x v="59"/>
    <x v="310"/>
    <x v="1"/>
    <x v="40"/>
    <x v="0"/>
    <n v="4"/>
    <n v="25"/>
    <x v="4"/>
  </r>
  <r>
    <n v="312"/>
    <x v="206"/>
    <x v="311"/>
    <x v="0"/>
    <x v="41"/>
    <x v="1"/>
    <n v="4"/>
    <n v="30"/>
    <x v="10"/>
  </r>
  <r>
    <n v="313"/>
    <x v="34"/>
    <x v="312"/>
    <x v="1"/>
    <x v="28"/>
    <x v="0"/>
    <n v="3"/>
    <n v="500"/>
    <x v="9"/>
  </r>
  <r>
    <n v="314"/>
    <x v="181"/>
    <x v="313"/>
    <x v="0"/>
    <x v="8"/>
    <x v="1"/>
    <n v="4"/>
    <n v="30"/>
    <x v="10"/>
  </r>
  <r>
    <n v="315"/>
    <x v="207"/>
    <x v="314"/>
    <x v="0"/>
    <x v="16"/>
    <x v="1"/>
    <n v="2"/>
    <n v="30"/>
    <x v="17"/>
  </r>
  <r>
    <n v="316"/>
    <x v="16"/>
    <x v="315"/>
    <x v="1"/>
    <x v="27"/>
    <x v="1"/>
    <n v="2"/>
    <n v="25"/>
    <x v="5"/>
  </r>
  <r>
    <n v="317"/>
    <x v="144"/>
    <x v="316"/>
    <x v="0"/>
    <x v="11"/>
    <x v="2"/>
    <n v="3"/>
    <n v="30"/>
    <x v="15"/>
  </r>
  <r>
    <n v="318"/>
    <x v="208"/>
    <x v="317"/>
    <x v="0"/>
    <x v="39"/>
    <x v="1"/>
    <n v="1"/>
    <n v="25"/>
    <x v="16"/>
  </r>
  <r>
    <n v="319"/>
    <x v="209"/>
    <x v="318"/>
    <x v="0"/>
    <x v="33"/>
    <x v="1"/>
    <n v="1"/>
    <n v="500"/>
    <x v="3"/>
  </r>
  <r>
    <n v="320"/>
    <x v="190"/>
    <x v="319"/>
    <x v="1"/>
    <x v="20"/>
    <x v="2"/>
    <n v="4"/>
    <n v="300"/>
    <x v="14"/>
  </r>
  <r>
    <n v="321"/>
    <x v="210"/>
    <x v="320"/>
    <x v="1"/>
    <x v="1"/>
    <x v="2"/>
    <n v="2"/>
    <n v="25"/>
    <x v="5"/>
  </r>
  <r>
    <n v="322"/>
    <x v="144"/>
    <x v="321"/>
    <x v="0"/>
    <x v="25"/>
    <x v="2"/>
    <n v="1"/>
    <n v="500"/>
    <x v="3"/>
  </r>
  <r>
    <n v="323"/>
    <x v="197"/>
    <x v="322"/>
    <x v="1"/>
    <x v="38"/>
    <x v="0"/>
    <n v="3"/>
    <n v="300"/>
    <x v="12"/>
  </r>
  <r>
    <n v="324"/>
    <x v="101"/>
    <x v="323"/>
    <x v="1"/>
    <x v="8"/>
    <x v="2"/>
    <n v="3"/>
    <n v="50"/>
    <x v="0"/>
  </r>
  <r>
    <n v="325"/>
    <x v="211"/>
    <x v="324"/>
    <x v="1"/>
    <x v="8"/>
    <x v="2"/>
    <n v="2"/>
    <n v="25"/>
    <x v="5"/>
  </r>
  <r>
    <n v="326"/>
    <x v="212"/>
    <x v="325"/>
    <x v="1"/>
    <x v="18"/>
    <x v="1"/>
    <n v="3"/>
    <n v="25"/>
    <x v="8"/>
  </r>
  <r>
    <n v="327"/>
    <x v="136"/>
    <x v="326"/>
    <x v="0"/>
    <x v="35"/>
    <x v="2"/>
    <n v="3"/>
    <n v="50"/>
    <x v="0"/>
  </r>
  <r>
    <n v="328"/>
    <x v="125"/>
    <x v="327"/>
    <x v="0"/>
    <x v="23"/>
    <x v="0"/>
    <n v="2"/>
    <n v="50"/>
    <x v="4"/>
  </r>
  <r>
    <n v="329"/>
    <x v="144"/>
    <x v="328"/>
    <x v="1"/>
    <x v="6"/>
    <x v="2"/>
    <n v="4"/>
    <n v="25"/>
    <x v="4"/>
  </r>
  <r>
    <n v="330"/>
    <x v="106"/>
    <x v="329"/>
    <x v="1"/>
    <x v="36"/>
    <x v="0"/>
    <n v="4"/>
    <n v="50"/>
    <x v="7"/>
  </r>
  <r>
    <n v="331"/>
    <x v="213"/>
    <x v="330"/>
    <x v="0"/>
    <x v="20"/>
    <x v="2"/>
    <n v="3"/>
    <n v="30"/>
    <x v="15"/>
  </r>
  <r>
    <n v="332"/>
    <x v="214"/>
    <x v="331"/>
    <x v="0"/>
    <x v="26"/>
    <x v="2"/>
    <n v="4"/>
    <n v="300"/>
    <x v="14"/>
  </r>
  <r>
    <n v="333"/>
    <x v="57"/>
    <x v="332"/>
    <x v="1"/>
    <x v="31"/>
    <x v="2"/>
    <n v="4"/>
    <n v="300"/>
    <x v="14"/>
  </r>
  <r>
    <n v="334"/>
    <x v="215"/>
    <x v="333"/>
    <x v="0"/>
    <x v="33"/>
    <x v="2"/>
    <n v="3"/>
    <n v="300"/>
    <x v="12"/>
  </r>
  <r>
    <n v="335"/>
    <x v="170"/>
    <x v="334"/>
    <x v="1"/>
    <x v="16"/>
    <x v="0"/>
    <n v="4"/>
    <n v="30"/>
    <x v="10"/>
  </r>
  <r>
    <n v="336"/>
    <x v="216"/>
    <x v="335"/>
    <x v="1"/>
    <x v="8"/>
    <x v="0"/>
    <n v="3"/>
    <n v="50"/>
    <x v="0"/>
  </r>
  <r>
    <n v="337"/>
    <x v="217"/>
    <x v="336"/>
    <x v="0"/>
    <x v="21"/>
    <x v="1"/>
    <n v="1"/>
    <n v="500"/>
    <x v="3"/>
  </r>
  <r>
    <n v="338"/>
    <x v="191"/>
    <x v="337"/>
    <x v="0"/>
    <x v="31"/>
    <x v="0"/>
    <n v="2"/>
    <n v="50"/>
    <x v="4"/>
  </r>
  <r>
    <n v="339"/>
    <x v="163"/>
    <x v="338"/>
    <x v="1"/>
    <x v="11"/>
    <x v="2"/>
    <n v="2"/>
    <n v="25"/>
    <x v="5"/>
  </r>
  <r>
    <n v="340"/>
    <x v="218"/>
    <x v="339"/>
    <x v="1"/>
    <x v="32"/>
    <x v="1"/>
    <n v="4"/>
    <n v="300"/>
    <x v="14"/>
  </r>
  <r>
    <n v="341"/>
    <x v="98"/>
    <x v="340"/>
    <x v="0"/>
    <x v="33"/>
    <x v="1"/>
    <n v="4"/>
    <n v="50"/>
    <x v="7"/>
  </r>
  <r>
    <n v="342"/>
    <x v="208"/>
    <x v="341"/>
    <x v="1"/>
    <x v="22"/>
    <x v="1"/>
    <n v="4"/>
    <n v="500"/>
    <x v="11"/>
  </r>
  <r>
    <n v="343"/>
    <x v="215"/>
    <x v="342"/>
    <x v="0"/>
    <x v="34"/>
    <x v="2"/>
    <n v="2"/>
    <n v="25"/>
    <x v="5"/>
  </r>
  <r>
    <n v="344"/>
    <x v="219"/>
    <x v="343"/>
    <x v="1"/>
    <x v="13"/>
    <x v="0"/>
    <n v="1"/>
    <n v="30"/>
    <x v="2"/>
  </r>
  <r>
    <n v="345"/>
    <x v="220"/>
    <x v="344"/>
    <x v="0"/>
    <x v="17"/>
    <x v="2"/>
    <n v="1"/>
    <n v="30"/>
    <x v="2"/>
  </r>
  <r>
    <n v="346"/>
    <x v="213"/>
    <x v="345"/>
    <x v="0"/>
    <x v="42"/>
    <x v="1"/>
    <n v="2"/>
    <n v="500"/>
    <x v="1"/>
  </r>
  <r>
    <n v="347"/>
    <x v="25"/>
    <x v="346"/>
    <x v="0"/>
    <x v="13"/>
    <x v="2"/>
    <n v="1"/>
    <n v="25"/>
    <x v="16"/>
  </r>
  <r>
    <n v="348"/>
    <x v="221"/>
    <x v="347"/>
    <x v="1"/>
    <x v="10"/>
    <x v="2"/>
    <n v="2"/>
    <n v="300"/>
    <x v="6"/>
  </r>
  <r>
    <n v="349"/>
    <x v="103"/>
    <x v="348"/>
    <x v="1"/>
    <x v="35"/>
    <x v="0"/>
    <n v="1"/>
    <n v="50"/>
    <x v="5"/>
  </r>
  <r>
    <n v="350"/>
    <x v="222"/>
    <x v="349"/>
    <x v="0"/>
    <x v="36"/>
    <x v="0"/>
    <n v="3"/>
    <n v="25"/>
    <x v="8"/>
  </r>
  <r>
    <n v="351"/>
    <x v="223"/>
    <x v="350"/>
    <x v="1"/>
    <x v="37"/>
    <x v="1"/>
    <n v="3"/>
    <n v="30"/>
    <x v="15"/>
  </r>
  <r>
    <n v="352"/>
    <x v="86"/>
    <x v="351"/>
    <x v="0"/>
    <x v="35"/>
    <x v="2"/>
    <n v="2"/>
    <n v="500"/>
    <x v="1"/>
  </r>
  <r>
    <n v="353"/>
    <x v="224"/>
    <x v="352"/>
    <x v="0"/>
    <x v="33"/>
    <x v="2"/>
    <n v="1"/>
    <n v="500"/>
    <x v="3"/>
  </r>
  <r>
    <n v="354"/>
    <x v="225"/>
    <x v="353"/>
    <x v="1"/>
    <x v="19"/>
    <x v="0"/>
    <n v="4"/>
    <n v="50"/>
    <x v="7"/>
  </r>
  <r>
    <n v="355"/>
    <x v="174"/>
    <x v="354"/>
    <x v="1"/>
    <x v="28"/>
    <x v="2"/>
    <n v="1"/>
    <n v="500"/>
    <x v="3"/>
  </r>
  <r>
    <n v="356"/>
    <x v="210"/>
    <x v="355"/>
    <x v="0"/>
    <x v="2"/>
    <x v="2"/>
    <n v="3"/>
    <n v="500"/>
    <x v="9"/>
  </r>
  <r>
    <n v="357"/>
    <x v="143"/>
    <x v="356"/>
    <x v="1"/>
    <x v="30"/>
    <x v="2"/>
    <n v="3"/>
    <n v="25"/>
    <x v="8"/>
  </r>
  <r>
    <n v="358"/>
    <x v="42"/>
    <x v="357"/>
    <x v="1"/>
    <x v="40"/>
    <x v="0"/>
    <n v="1"/>
    <n v="300"/>
    <x v="13"/>
  </r>
  <r>
    <n v="359"/>
    <x v="94"/>
    <x v="358"/>
    <x v="0"/>
    <x v="2"/>
    <x v="1"/>
    <n v="1"/>
    <n v="50"/>
    <x v="5"/>
  </r>
  <r>
    <n v="360"/>
    <x v="176"/>
    <x v="359"/>
    <x v="0"/>
    <x v="13"/>
    <x v="1"/>
    <n v="4"/>
    <n v="25"/>
    <x v="4"/>
  </r>
  <r>
    <n v="361"/>
    <x v="70"/>
    <x v="360"/>
    <x v="1"/>
    <x v="0"/>
    <x v="2"/>
    <n v="4"/>
    <n v="300"/>
    <x v="14"/>
  </r>
  <r>
    <n v="362"/>
    <x v="188"/>
    <x v="361"/>
    <x v="0"/>
    <x v="2"/>
    <x v="1"/>
    <n v="1"/>
    <n v="25"/>
    <x v="16"/>
  </r>
  <r>
    <n v="363"/>
    <x v="226"/>
    <x v="362"/>
    <x v="0"/>
    <x v="12"/>
    <x v="0"/>
    <n v="1"/>
    <n v="25"/>
    <x v="16"/>
  </r>
  <r>
    <n v="364"/>
    <x v="96"/>
    <x v="363"/>
    <x v="1"/>
    <x v="14"/>
    <x v="0"/>
    <n v="1"/>
    <n v="500"/>
    <x v="3"/>
  </r>
  <r>
    <n v="365"/>
    <x v="86"/>
    <x v="364"/>
    <x v="0"/>
    <x v="33"/>
    <x v="1"/>
    <n v="1"/>
    <n v="300"/>
    <x v="13"/>
  </r>
  <r>
    <n v="366"/>
    <x v="227"/>
    <x v="365"/>
    <x v="0"/>
    <x v="35"/>
    <x v="1"/>
    <n v="2"/>
    <n v="50"/>
    <x v="4"/>
  </r>
  <r>
    <n v="367"/>
    <x v="228"/>
    <x v="366"/>
    <x v="1"/>
    <x v="35"/>
    <x v="2"/>
    <n v="1"/>
    <n v="50"/>
    <x v="5"/>
  </r>
  <r>
    <n v="368"/>
    <x v="96"/>
    <x v="367"/>
    <x v="1"/>
    <x v="37"/>
    <x v="1"/>
    <n v="4"/>
    <n v="300"/>
    <x v="14"/>
  </r>
  <r>
    <n v="369"/>
    <x v="229"/>
    <x v="368"/>
    <x v="0"/>
    <x v="9"/>
    <x v="2"/>
    <n v="3"/>
    <n v="500"/>
    <x v="9"/>
  </r>
  <r>
    <n v="370"/>
    <x v="230"/>
    <x v="369"/>
    <x v="0"/>
    <x v="9"/>
    <x v="2"/>
    <n v="2"/>
    <n v="30"/>
    <x v="17"/>
  </r>
  <r>
    <n v="371"/>
    <x v="62"/>
    <x v="370"/>
    <x v="1"/>
    <x v="29"/>
    <x v="0"/>
    <n v="1"/>
    <n v="25"/>
    <x v="16"/>
  </r>
  <r>
    <n v="372"/>
    <x v="227"/>
    <x v="371"/>
    <x v="1"/>
    <x v="46"/>
    <x v="0"/>
    <n v="3"/>
    <n v="500"/>
    <x v="9"/>
  </r>
  <r>
    <n v="373"/>
    <x v="99"/>
    <x v="372"/>
    <x v="1"/>
    <x v="36"/>
    <x v="0"/>
    <n v="2"/>
    <n v="300"/>
    <x v="6"/>
  </r>
  <r>
    <n v="374"/>
    <x v="175"/>
    <x v="373"/>
    <x v="1"/>
    <x v="42"/>
    <x v="0"/>
    <n v="3"/>
    <n v="25"/>
    <x v="8"/>
  </r>
  <r>
    <n v="375"/>
    <x v="129"/>
    <x v="374"/>
    <x v="0"/>
    <x v="40"/>
    <x v="1"/>
    <n v="1"/>
    <n v="50"/>
    <x v="5"/>
  </r>
  <r>
    <n v="376"/>
    <x v="42"/>
    <x v="375"/>
    <x v="1"/>
    <x v="12"/>
    <x v="0"/>
    <n v="1"/>
    <n v="30"/>
    <x v="2"/>
  </r>
  <r>
    <n v="377"/>
    <x v="176"/>
    <x v="376"/>
    <x v="1"/>
    <x v="6"/>
    <x v="1"/>
    <n v="4"/>
    <n v="50"/>
    <x v="7"/>
  </r>
  <r>
    <n v="378"/>
    <x v="231"/>
    <x v="377"/>
    <x v="0"/>
    <x v="2"/>
    <x v="0"/>
    <n v="1"/>
    <n v="300"/>
    <x v="13"/>
  </r>
  <r>
    <n v="379"/>
    <x v="57"/>
    <x v="378"/>
    <x v="1"/>
    <x v="16"/>
    <x v="1"/>
    <n v="1"/>
    <n v="25"/>
    <x v="16"/>
  </r>
  <r>
    <n v="380"/>
    <x v="4"/>
    <x v="379"/>
    <x v="0"/>
    <x v="37"/>
    <x v="2"/>
    <n v="2"/>
    <n v="300"/>
    <x v="6"/>
  </r>
  <r>
    <n v="381"/>
    <x v="67"/>
    <x v="380"/>
    <x v="1"/>
    <x v="24"/>
    <x v="1"/>
    <n v="4"/>
    <n v="25"/>
    <x v="4"/>
  </r>
  <r>
    <n v="382"/>
    <x v="232"/>
    <x v="381"/>
    <x v="1"/>
    <x v="45"/>
    <x v="1"/>
    <n v="2"/>
    <n v="500"/>
    <x v="1"/>
  </r>
  <r>
    <n v="383"/>
    <x v="125"/>
    <x v="382"/>
    <x v="1"/>
    <x v="6"/>
    <x v="0"/>
    <n v="3"/>
    <n v="30"/>
    <x v="15"/>
  </r>
  <r>
    <n v="384"/>
    <x v="160"/>
    <x v="383"/>
    <x v="0"/>
    <x v="28"/>
    <x v="1"/>
    <n v="1"/>
    <n v="500"/>
    <x v="3"/>
  </r>
  <r>
    <n v="385"/>
    <x v="233"/>
    <x v="384"/>
    <x v="0"/>
    <x v="2"/>
    <x v="2"/>
    <n v="3"/>
    <n v="500"/>
    <x v="9"/>
  </r>
  <r>
    <n v="386"/>
    <x v="56"/>
    <x v="385"/>
    <x v="1"/>
    <x v="31"/>
    <x v="2"/>
    <n v="2"/>
    <n v="300"/>
    <x v="6"/>
  </r>
  <r>
    <n v="387"/>
    <x v="234"/>
    <x v="386"/>
    <x v="0"/>
    <x v="24"/>
    <x v="0"/>
    <n v="1"/>
    <n v="30"/>
    <x v="2"/>
  </r>
  <r>
    <n v="388"/>
    <x v="235"/>
    <x v="387"/>
    <x v="0"/>
    <x v="2"/>
    <x v="2"/>
    <n v="1"/>
    <n v="25"/>
    <x v="16"/>
  </r>
  <r>
    <n v="389"/>
    <x v="187"/>
    <x v="388"/>
    <x v="0"/>
    <x v="34"/>
    <x v="1"/>
    <n v="2"/>
    <n v="25"/>
    <x v="5"/>
  </r>
  <r>
    <n v="390"/>
    <x v="118"/>
    <x v="389"/>
    <x v="0"/>
    <x v="23"/>
    <x v="2"/>
    <n v="2"/>
    <n v="50"/>
    <x v="4"/>
  </r>
  <r>
    <n v="391"/>
    <x v="228"/>
    <x v="390"/>
    <x v="0"/>
    <x v="14"/>
    <x v="0"/>
    <n v="2"/>
    <n v="25"/>
    <x v="5"/>
  </r>
  <r>
    <n v="392"/>
    <x v="236"/>
    <x v="391"/>
    <x v="0"/>
    <x v="15"/>
    <x v="1"/>
    <n v="2"/>
    <n v="300"/>
    <x v="6"/>
  </r>
  <r>
    <n v="393"/>
    <x v="120"/>
    <x v="392"/>
    <x v="1"/>
    <x v="11"/>
    <x v="0"/>
    <n v="2"/>
    <n v="500"/>
    <x v="1"/>
  </r>
  <r>
    <n v="394"/>
    <x v="226"/>
    <x v="393"/>
    <x v="1"/>
    <x v="15"/>
    <x v="1"/>
    <n v="1"/>
    <n v="500"/>
    <x v="3"/>
  </r>
  <r>
    <n v="395"/>
    <x v="237"/>
    <x v="394"/>
    <x v="0"/>
    <x v="2"/>
    <x v="2"/>
    <n v="2"/>
    <n v="500"/>
    <x v="1"/>
  </r>
  <r>
    <n v="396"/>
    <x v="238"/>
    <x v="395"/>
    <x v="1"/>
    <x v="28"/>
    <x v="0"/>
    <n v="1"/>
    <n v="30"/>
    <x v="2"/>
  </r>
  <r>
    <n v="397"/>
    <x v="239"/>
    <x v="396"/>
    <x v="1"/>
    <x v="4"/>
    <x v="0"/>
    <n v="1"/>
    <n v="25"/>
    <x v="16"/>
  </r>
  <r>
    <n v="398"/>
    <x v="42"/>
    <x v="397"/>
    <x v="1"/>
    <x v="27"/>
    <x v="1"/>
    <n v="2"/>
    <n v="300"/>
    <x v="6"/>
  </r>
  <r>
    <n v="399"/>
    <x v="240"/>
    <x v="398"/>
    <x v="1"/>
    <x v="12"/>
    <x v="0"/>
    <n v="2"/>
    <n v="30"/>
    <x v="17"/>
  </r>
  <r>
    <n v="400"/>
    <x v="130"/>
    <x v="399"/>
    <x v="0"/>
    <x v="45"/>
    <x v="1"/>
    <n v="4"/>
    <n v="50"/>
    <x v="7"/>
  </r>
  <r>
    <n v="401"/>
    <x v="120"/>
    <x v="400"/>
    <x v="1"/>
    <x v="17"/>
    <x v="1"/>
    <n v="1"/>
    <n v="300"/>
    <x v="13"/>
  </r>
  <r>
    <n v="402"/>
    <x v="34"/>
    <x v="401"/>
    <x v="1"/>
    <x v="41"/>
    <x v="1"/>
    <n v="2"/>
    <n v="300"/>
    <x v="6"/>
  </r>
  <r>
    <n v="403"/>
    <x v="241"/>
    <x v="402"/>
    <x v="0"/>
    <x v="40"/>
    <x v="1"/>
    <n v="2"/>
    <n v="300"/>
    <x v="6"/>
  </r>
  <r>
    <n v="404"/>
    <x v="242"/>
    <x v="403"/>
    <x v="0"/>
    <x v="6"/>
    <x v="2"/>
    <n v="2"/>
    <n v="500"/>
    <x v="1"/>
  </r>
  <r>
    <n v="405"/>
    <x v="41"/>
    <x v="404"/>
    <x v="1"/>
    <x v="36"/>
    <x v="1"/>
    <n v="4"/>
    <n v="300"/>
    <x v="14"/>
  </r>
  <r>
    <n v="406"/>
    <x v="69"/>
    <x v="405"/>
    <x v="1"/>
    <x v="11"/>
    <x v="0"/>
    <n v="4"/>
    <n v="25"/>
    <x v="4"/>
  </r>
  <r>
    <n v="407"/>
    <x v="243"/>
    <x v="406"/>
    <x v="1"/>
    <x v="6"/>
    <x v="2"/>
    <n v="3"/>
    <n v="300"/>
    <x v="12"/>
  </r>
  <r>
    <n v="408"/>
    <x v="225"/>
    <x v="407"/>
    <x v="1"/>
    <x v="12"/>
    <x v="0"/>
    <n v="1"/>
    <n v="500"/>
    <x v="3"/>
  </r>
  <r>
    <n v="409"/>
    <x v="244"/>
    <x v="408"/>
    <x v="1"/>
    <x v="34"/>
    <x v="2"/>
    <n v="3"/>
    <n v="300"/>
    <x v="12"/>
  </r>
  <r>
    <n v="410"/>
    <x v="245"/>
    <x v="409"/>
    <x v="1"/>
    <x v="38"/>
    <x v="1"/>
    <n v="2"/>
    <n v="50"/>
    <x v="4"/>
  </r>
  <r>
    <n v="411"/>
    <x v="42"/>
    <x v="410"/>
    <x v="0"/>
    <x v="17"/>
    <x v="2"/>
    <n v="4"/>
    <n v="50"/>
    <x v="7"/>
  </r>
  <r>
    <n v="412"/>
    <x v="18"/>
    <x v="411"/>
    <x v="1"/>
    <x v="14"/>
    <x v="2"/>
    <n v="4"/>
    <n v="500"/>
    <x v="11"/>
  </r>
  <r>
    <n v="413"/>
    <x v="140"/>
    <x v="412"/>
    <x v="1"/>
    <x v="24"/>
    <x v="0"/>
    <n v="3"/>
    <n v="25"/>
    <x v="8"/>
  </r>
  <r>
    <n v="414"/>
    <x v="119"/>
    <x v="413"/>
    <x v="0"/>
    <x v="27"/>
    <x v="0"/>
    <n v="4"/>
    <n v="25"/>
    <x v="4"/>
  </r>
  <r>
    <n v="415"/>
    <x v="246"/>
    <x v="414"/>
    <x v="0"/>
    <x v="45"/>
    <x v="1"/>
    <n v="2"/>
    <n v="30"/>
    <x v="17"/>
  </r>
  <r>
    <n v="416"/>
    <x v="15"/>
    <x v="415"/>
    <x v="0"/>
    <x v="45"/>
    <x v="2"/>
    <n v="4"/>
    <n v="500"/>
    <x v="11"/>
  </r>
  <r>
    <n v="417"/>
    <x v="245"/>
    <x v="416"/>
    <x v="0"/>
    <x v="22"/>
    <x v="2"/>
    <n v="3"/>
    <n v="300"/>
    <x v="12"/>
  </r>
  <r>
    <n v="418"/>
    <x v="12"/>
    <x v="417"/>
    <x v="1"/>
    <x v="43"/>
    <x v="2"/>
    <n v="2"/>
    <n v="500"/>
    <x v="1"/>
  </r>
  <r>
    <n v="419"/>
    <x v="247"/>
    <x v="418"/>
    <x v="1"/>
    <x v="24"/>
    <x v="1"/>
    <n v="3"/>
    <n v="30"/>
    <x v="15"/>
  </r>
  <r>
    <n v="420"/>
    <x v="43"/>
    <x v="419"/>
    <x v="1"/>
    <x v="11"/>
    <x v="1"/>
    <n v="4"/>
    <n v="500"/>
    <x v="11"/>
  </r>
  <r>
    <n v="421"/>
    <x v="126"/>
    <x v="420"/>
    <x v="1"/>
    <x v="3"/>
    <x v="1"/>
    <n v="3"/>
    <n v="500"/>
    <x v="9"/>
  </r>
  <r>
    <n v="422"/>
    <x v="248"/>
    <x v="421"/>
    <x v="1"/>
    <x v="20"/>
    <x v="1"/>
    <n v="3"/>
    <n v="30"/>
    <x v="15"/>
  </r>
  <r>
    <n v="423"/>
    <x v="249"/>
    <x v="422"/>
    <x v="1"/>
    <x v="15"/>
    <x v="1"/>
    <n v="1"/>
    <n v="25"/>
    <x v="16"/>
  </r>
  <r>
    <n v="424"/>
    <x v="250"/>
    <x v="423"/>
    <x v="0"/>
    <x v="35"/>
    <x v="0"/>
    <n v="4"/>
    <n v="300"/>
    <x v="14"/>
  </r>
  <r>
    <n v="425"/>
    <x v="100"/>
    <x v="424"/>
    <x v="1"/>
    <x v="28"/>
    <x v="2"/>
    <n v="4"/>
    <n v="30"/>
    <x v="10"/>
  </r>
  <r>
    <n v="426"/>
    <x v="134"/>
    <x v="425"/>
    <x v="0"/>
    <x v="9"/>
    <x v="2"/>
    <n v="3"/>
    <n v="50"/>
    <x v="0"/>
  </r>
  <r>
    <n v="427"/>
    <x v="196"/>
    <x v="426"/>
    <x v="0"/>
    <x v="36"/>
    <x v="2"/>
    <n v="1"/>
    <n v="25"/>
    <x v="16"/>
  </r>
  <r>
    <n v="428"/>
    <x v="49"/>
    <x v="427"/>
    <x v="1"/>
    <x v="30"/>
    <x v="2"/>
    <n v="4"/>
    <n v="50"/>
    <x v="7"/>
  </r>
  <r>
    <n v="429"/>
    <x v="251"/>
    <x v="428"/>
    <x v="0"/>
    <x v="12"/>
    <x v="2"/>
    <n v="2"/>
    <n v="25"/>
    <x v="5"/>
  </r>
  <r>
    <n v="430"/>
    <x v="252"/>
    <x v="429"/>
    <x v="1"/>
    <x v="22"/>
    <x v="2"/>
    <n v="3"/>
    <n v="300"/>
    <x v="12"/>
  </r>
  <r>
    <n v="431"/>
    <x v="21"/>
    <x v="430"/>
    <x v="0"/>
    <x v="7"/>
    <x v="2"/>
    <n v="4"/>
    <n v="300"/>
    <x v="14"/>
  </r>
  <r>
    <n v="432"/>
    <x v="228"/>
    <x v="431"/>
    <x v="1"/>
    <x v="43"/>
    <x v="2"/>
    <n v="2"/>
    <n v="500"/>
    <x v="1"/>
  </r>
  <r>
    <n v="433"/>
    <x v="1"/>
    <x v="432"/>
    <x v="0"/>
    <x v="38"/>
    <x v="0"/>
    <n v="4"/>
    <n v="50"/>
    <x v="7"/>
  </r>
  <r>
    <n v="434"/>
    <x v="195"/>
    <x v="433"/>
    <x v="1"/>
    <x v="22"/>
    <x v="2"/>
    <n v="2"/>
    <n v="25"/>
    <x v="5"/>
  </r>
  <r>
    <n v="435"/>
    <x v="156"/>
    <x v="434"/>
    <x v="1"/>
    <x v="4"/>
    <x v="0"/>
    <n v="3"/>
    <n v="300"/>
    <x v="12"/>
  </r>
  <r>
    <n v="436"/>
    <x v="253"/>
    <x v="435"/>
    <x v="1"/>
    <x v="35"/>
    <x v="1"/>
    <n v="4"/>
    <n v="30"/>
    <x v="10"/>
  </r>
  <r>
    <n v="437"/>
    <x v="9"/>
    <x v="436"/>
    <x v="1"/>
    <x v="10"/>
    <x v="2"/>
    <n v="4"/>
    <n v="300"/>
    <x v="14"/>
  </r>
  <r>
    <n v="438"/>
    <x v="254"/>
    <x v="437"/>
    <x v="1"/>
    <x v="13"/>
    <x v="1"/>
    <n v="1"/>
    <n v="30"/>
    <x v="2"/>
  </r>
  <r>
    <n v="439"/>
    <x v="67"/>
    <x v="438"/>
    <x v="0"/>
    <x v="2"/>
    <x v="1"/>
    <n v="3"/>
    <n v="25"/>
    <x v="8"/>
  </r>
  <r>
    <n v="440"/>
    <x v="103"/>
    <x v="439"/>
    <x v="0"/>
    <x v="12"/>
    <x v="1"/>
    <n v="2"/>
    <n v="300"/>
    <x v="6"/>
  </r>
  <r>
    <n v="441"/>
    <x v="49"/>
    <x v="440"/>
    <x v="0"/>
    <x v="35"/>
    <x v="0"/>
    <n v="4"/>
    <n v="300"/>
    <x v="14"/>
  </r>
  <r>
    <n v="442"/>
    <x v="255"/>
    <x v="441"/>
    <x v="1"/>
    <x v="43"/>
    <x v="1"/>
    <n v="4"/>
    <n v="25"/>
    <x v="4"/>
  </r>
  <r>
    <n v="443"/>
    <x v="183"/>
    <x v="442"/>
    <x v="0"/>
    <x v="38"/>
    <x v="1"/>
    <n v="2"/>
    <n v="300"/>
    <x v="6"/>
  </r>
  <r>
    <n v="444"/>
    <x v="150"/>
    <x v="443"/>
    <x v="1"/>
    <x v="39"/>
    <x v="1"/>
    <n v="3"/>
    <n v="30"/>
    <x v="15"/>
  </r>
  <r>
    <n v="445"/>
    <x v="256"/>
    <x v="444"/>
    <x v="1"/>
    <x v="45"/>
    <x v="2"/>
    <n v="1"/>
    <n v="300"/>
    <x v="13"/>
  </r>
  <r>
    <n v="446"/>
    <x v="142"/>
    <x v="445"/>
    <x v="0"/>
    <x v="34"/>
    <x v="2"/>
    <n v="1"/>
    <n v="50"/>
    <x v="5"/>
  </r>
  <r>
    <n v="447"/>
    <x v="65"/>
    <x v="446"/>
    <x v="0"/>
    <x v="11"/>
    <x v="0"/>
    <n v="4"/>
    <n v="500"/>
    <x v="11"/>
  </r>
  <r>
    <n v="448"/>
    <x v="219"/>
    <x v="447"/>
    <x v="1"/>
    <x v="31"/>
    <x v="0"/>
    <n v="2"/>
    <n v="30"/>
    <x v="17"/>
  </r>
  <r>
    <n v="449"/>
    <x v="39"/>
    <x v="448"/>
    <x v="0"/>
    <x v="36"/>
    <x v="2"/>
    <n v="4"/>
    <n v="50"/>
    <x v="7"/>
  </r>
  <r>
    <n v="450"/>
    <x v="69"/>
    <x v="449"/>
    <x v="1"/>
    <x v="42"/>
    <x v="0"/>
    <n v="2"/>
    <n v="25"/>
    <x v="5"/>
  </r>
  <r>
    <n v="451"/>
    <x v="72"/>
    <x v="450"/>
    <x v="1"/>
    <x v="5"/>
    <x v="2"/>
    <n v="1"/>
    <n v="30"/>
    <x v="2"/>
  </r>
  <r>
    <n v="452"/>
    <x v="193"/>
    <x v="451"/>
    <x v="1"/>
    <x v="27"/>
    <x v="1"/>
    <n v="3"/>
    <n v="500"/>
    <x v="9"/>
  </r>
  <r>
    <n v="453"/>
    <x v="236"/>
    <x v="452"/>
    <x v="1"/>
    <x v="1"/>
    <x v="1"/>
    <n v="2"/>
    <n v="500"/>
    <x v="1"/>
  </r>
  <r>
    <n v="454"/>
    <x v="7"/>
    <x v="453"/>
    <x v="1"/>
    <x v="6"/>
    <x v="0"/>
    <n v="1"/>
    <n v="25"/>
    <x v="16"/>
  </r>
  <r>
    <n v="455"/>
    <x v="68"/>
    <x v="454"/>
    <x v="0"/>
    <x v="33"/>
    <x v="2"/>
    <n v="4"/>
    <n v="25"/>
    <x v="4"/>
  </r>
  <r>
    <n v="456"/>
    <x v="257"/>
    <x v="455"/>
    <x v="0"/>
    <x v="35"/>
    <x v="2"/>
    <n v="2"/>
    <n v="30"/>
    <x v="17"/>
  </r>
  <r>
    <n v="457"/>
    <x v="180"/>
    <x v="456"/>
    <x v="1"/>
    <x v="26"/>
    <x v="0"/>
    <n v="3"/>
    <n v="300"/>
    <x v="12"/>
  </r>
  <r>
    <n v="458"/>
    <x v="220"/>
    <x v="457"/>
    <x v="1"/>
    <x v="23"/>
    <x v="2"/>
    <n v="4"/>
    <n v="25"/>
    <x v="4"/>
  </r>
  <r>
    <n v="459"/>
    <x v="34"/>
    <x v="458"/>
    <x v="0"/>
    <x v="20"/>
    <x v="1"/>
    <n v="4"/>
    <n v="300"/>
    <x v="14"/>
  </r>
  <r>
    <n v="460"/>
    <x v="173"/>
    <x v="459"/>
    <x v="0"/>
    <x v="30"/>
    <x v="0"/>
    <n v="1"/>
    <n v="50"/>
    <x v="5"/>
  </r>
  <r>
    <n v="461"/>
    <x v="66"/>
    <x v="460"/>
    <x v="1"/>
    <x v="18"/>
    <x v="0"/>
    <n v="2"/>
    <n v="500"/>
    <x v="1"/>
  </r>
  <r>
    <n v="462"/>
    <x v="258"/>
    <x v="461"/>
    <x v="0"/>
    <x v="7"/>
    <x v="2"/>
    <n v="4"/>
    <n v="300"/>
    <x v="14"/>
  </r>
  <r>
    <n v="463"/>
    <x v="259"/>
    <x v="462"/>
    <x v="1"/>
    <x v="31"/>
    <x v="0"/>
    <n v="3"/>
    <n v="500"/>
    <x v="9"/>
  </r>
  <r>
    <n v="464"/>
    <x v="2"/>
    <x v="463"/>
    <x v="0"/>
    <x v="21"/>
    <x v="2"/>
    <n v="2"/>
    <n v="300"/>
    <x v="6"/>
  </r>
  <r>
    <n v="465"/>
    <x v="128"/>
    <x v="464"/>
    <x v="1"/>
    <x v="22"/>
    <x v="2"/>
    <n v="3"/>
    <n v="50"/>
    <x v="0"/>
  </r>
  <r>
    <n v="466"/>
    <x v="248"/>
    <x v="465"/>
    <x v="0"/>
    <x v="7"/>
    <x v="2"/>
    <n v="4"/>
    <n v="25"/>
    <x v="4"/>
  </r>
  <r>
    <n v="467"/>
    <x v="184"/>
    <x v="466"/>
    <x v="1"/>
    <x v="45"/>
    <x v="2"/>
    <n v="3"/>
    <n v="50"/>
    <x v="0"/>
  </r>
  <r>
    <n v="468"/>
    <x v="174"/>
    <x v="467"/>
    <x v="0"/>
    <x v="30"/>
    <x v="2"/>
    <n v="1"/>
    <n v="25"/>
    <x v="16"/>
  </r>
  <r>
    <n v="469"/>
    <x v="193"/>
    <x v="468"/>
    <x v="0"/>
    <x v="18"/>
    <x v="0"/>
    <n v="3"/>
    <n v="25"/>
    <x v="8"/>
  </r>
  <r>
    <n v="470"/>
    <x v="71"/>
    <x v="469"/>
    <x v="1"/>
    <x v="35"/>
    <x v="1"/>
    <n v="2"/>
    <n v="500"/>
    <x v="1"/>
  </r>
  <r>
    <n v="471"/>
    <x v="31"/>
    <x v="470"/>
    <x v="0"/>
    <x v="40"/>
    <x v="1"/>
    <n v="3"/>
    <n v="50"/>
    <x v="0"/>
  </r>
  <r>
    <n v="472"/>
    <x v="24"/>
    <x v="471"/>
    <x v="1"/>
    <x v="21"/>
    <x v="0"/>
    <n v="3"/>
    <n v="300"/>
    <x v="12"/>
  </r>
  <r>
    <n v="473"/>
    <x v="192"/>
    <x v="472"/>
    <x v="0"/>
    <x v="12"/>
    <x v="0"/>
    <n v="1"/>
    <n v="50"/>
    <x v="5"/>
  </r>
  <r>
    <n v="474"/>
    <x v="116"/>
    <x v="473"/>
    <x v="1"/>
    <x v="1"/>
    <x v="1"/>
    <n v="3"/>
    <n v="500"/>
    <x v="9"/>
  </r>
  <r>
    <n v="475"/>
    <x v="260"/>
    <x v="474"/>
    <x v="0"/>
    <x v="1"/>
    <x v="1"/>
    <n v="3"/>
    <n v="25"/>
    <x v="8"/>
  </r>
  <r>
    <n v="476"/>
    <x v="261"/>
    <x v="475"/>
    <x v="1"/>
    <x v="15"/>
    <x v="1"/>
    <n v="4"/>
    <n v="500"/>
    <x v="11"/>
  </r>
  <r>
    <n v="477"/>
    <x v="262"/>
    <x v="476"/>
    <x v="0"/>
    <x v="22"/>
    <x v="1"/>
    <n v="4"/>
    <n v="30"/>
    <x v="10"/>
  </r>
  <r>
    <n v="478"/>
    <x v="157"/>
    <x v="477"/>
    <x v="1"/>
    <x v="26"/>
    <x v="1"/>
    <n v="2"/>
    <n v="30"/>
    <x v="17"/>
  </r>
  <r>
    <n v="479"/>
    <x v="44"/>
    <x v="478"/>
    <x v="0"/>
    <x v="8"/>
    <x v="2"/>
    <n v="4"/>
    <n v="300"/>
    <x v="14"/>
  </r>
  <r>
    <n v="480"/>
    <x v="263"/>
    <x v="479"/>
    <x v="1"/>
    <x v="13"/>
    <x v="0"/>
    <n v="4"/>
    <n v="500"/>
    <x v="11"/>
  </r>
  <r>
    <n v="481"/>
    <x v="264"/>
    <x v="480"/>
    <x v="1"/>
    <x v="22"/>
    <x v="2"/>
    <n v="4"/>
    <n v="300"/>
    <x v="14"/>
  </r>
  <r>
    <n v="482"/>
    <x v="60"/>
    <x v="481"/>
    <x v="1"/>
    <x v="20"/>
    <x v="1"/>
    <n v="4"/>
    <n v="300"/>
    <x v="14"/>
  </r>
  <r>
    <n v="483"/>
    <x v="5"/>
    <x v="482"/>
    <x v="0"/>
    <x v="28"/>
    <x v="1"/>
    <n v="1"/>
    <n v="30"/>
    <x v="2"/>
  </r>
  <r>
    <n v="484"/>
    <x v="2"/>
    <x v="483"/>
    <x v="1"/>
    <x v="14"/>
    <x v="1"/>
    <n v="4"/>
    <n v="300"/>
    <x v="14"/>
  </r>
  <r>
    <n v="485"/>
    <x v="151"/>
    <x v="484"/>
    <x v="0"/>
    <x v="46"/>
    <x v="2"/>
    <n v="1"/>
    <n v="30"/>
    <x v="2"/>
  </r>
  <r>
    <n v="486"/>
    <x v="55"/>
    <x v="485"/>
    <x v="1"/>
    <x v="10"/>
    <x v="2"/>
    <n v="1"/>
    <n v="25"/>
    <x v="16"/>
  </r>
  <r>
    <n v="487"/>
    <x v="104"/>
    <x v="486"/>
    <x v="0"/>
    <x v="24"/>
    <x v="1"/>
    <n v="4"/>
    <n v="500"/>
    <x v="11"/>
  </r>
  <r>
    <n v="488"/>
    <x v="265"/>
    <x v="487"/>
    <x v="1"/>
    <x v="25"/>
    <x v="2"/>
    <n v="3"/>
    <n v="300"/>
    <x v="12"/>
  </r>
  <r>
    <n v="489"/>
    <x v="29"/>
    <x v="488"/>
    <x v="0"/>
    <x v="24"/>
    <x v="2"/>
    <n v="1"/>
    <n v="30"/>
    <x v="2"/>
  </r>
  <r>
    <n v="490"/>
    <x v="57"/>
    <x v="489"/>
    <x v="0"/>
    <x v="0"/>
    <x v="1"/>
    <n v="3"/>
    <n v="50"/>
    <x v="0"/>
  </r>
  <r>
    <n v="491"/>
    <x v="29"/>
    <x v="490"/>
    <x v="1"/>
    <x v="43"/>
    <x v="2"/>
    <n v="3"/>
    <n v="300"/>
    <x v="12"/>
  </r>
  <r>
    <n v="492"/>
    <x v="263"/>
    <x v="491"/>
    <x v="0"/>
    <x v="39"/>
    <x v="0"/>
    <n v="4"/>
    <n v="25"/>
    <x v="4"/>
  </r>
  <r>
    <n v="493"/>
    <x v="123"/>
    <x v="492"/>
    <x v="0"/>
    <x v="41"/>
    <x v="0"/>
    <n v="2"/>
    <n v="25"/>
    <x v="5"/>
  </r>
  <r>
    <n v="494"/>
    <x v="106"/>
    <x v="493"/>
    <x v="1"/>
    <x v="13"/>
    <x v="0"/>
    <n v="4"/>
    <n v="50"/>
    <x v="7"/>
  </r>
  <r>
    <n v="495"/>
    <x v="104"/>
    <x v="494"/>
    <x v="0"/>
    <x v="46"/>
    <x v="0"/>
    <n v="2"/>
    <n v="30"/>
    <x v="17"/>
  </r>
  <r>
    <n v="496"/>
    <x v="266"/>
    <x v="495"/>
    <x v="0"/>
    <x v="9"/>
    <x v="1"/>
    <n v="2"/>
    <n v="300"/>
    <x v="6"/>
  </r>
  <r>
    <n v="497"/>
    <x v="45"/>
    <x v="496"/>
    <x v="0"/>
    <x v="41"/>
    <x v="1"/>
    <n v="4"/>
    <n v="30"/>
    <x v="10"/>
  </r>
  <r>
    <n v="498"/>
    <x v="171"/>
    <x v="497"/>
    <x v="1"/>
    <x v="2"/>
    <x v="1"/>
    <n v="4"/>
    <n v="25"/>
    <x v="4"/>
  </r>
  <r>
    <n v="499"/>
    <x v="267"/>
    <x v="498"/>
    <x v="0"/>
    <x v="6"/>
    <x v="0"/>
    <n v="2"/>
    <n v="30"/>
    <x v="17"/>
  </r>
  <r>
    <n v="500"/>
    <x v="240"/>
    <x v="499"/>
    <x v="1"/>
    <x v="43"/>
    <x v="0"/>
    <n v="4"/>
    <n v="25"/>
    <x v="4"/>
  </r>
  <r>
    <n v="501"/>
    <x v="224"/>
    <x v="500"/>
    <x v="0"/>
    <x v="23"/>
    <x v="2"/>
    <n v="2"/>
    <n v="30"/>
    <x v="17"/>
  </r>
  <r>
    <n v="502"/>
    <x v="128"/>
    <x v="501"/>
    <x v="0"/>
    <x v="22"/>
    <x v="2"/>
    <n v="3"/>
    <n v="50"/>
    <x v="0"/>
  </r>
  <r>
    <n v="503"/>
    <x v="268"/>
    <x v="502"/>
    <x v="0"/>
    <x v="5"/>
    <x v="0"/>
    <n v="4"/>
    <n v="500"/>
    <x v="11"/>
  </r>
  <r>
    <n v="504"/>
    <x v="42"/>
    <x v="503"/>
    <x v="1"/>
    <x v="21"/>
    <x v="0"/>
    <n v="3"/>
    <n v="50"/>
    <x v="0"/>
  </r>
  <r>
    <n v="505"/>
    <x v="260"/>
    <x v="504"/>
    <x v="0"/>
    <x v="46"/>
    <x v="0"/>
    <n v="1"/>
    <n v="50"/>
    <x v="5"/>
  </r>
  <r>
    <n v="506"/>
    <x v="192"/>
    <x v="505"/>
    <x v="0"/>
    <x v="0"/>
    <x v="0"/>
    <n v="3"/>
    <n v="500"/>
    <x v="9"/>
  </r>
  <r>
    <n v="507"/>
    <x v="113"/>
    <x v="506"/>
    <x v="1"/>
    <x v="3"/>
    <x v="2"/>
    <n v="3"/>
    <n v="500"/>
    <x v="9"/>
  </r>
  <r>
    <n v="508"/>
    <x v="124"/>
    <x v="507"/>
    <x v="0"/>
    <x v="26"/>
    <x v="0"/>
    <n v="2"/>
    <n v="300"/>
    <x v="6"/>
  </r>
  <r>
    <n v="509"/>
    <x v="40"/>
    <x v="508"/>
    <x v="1"/>
    <x v="3"/>
    <x v="2"/>
    <n v="3"/>
    <n v="300"/>
    <x v="12"/>
  </r>
  <r>
    <n v="510"/>
    <x v="210"/>
    <x v="509"/>
    <x v="1"/>
    <x v="23"/>
    <x v="0"/>
    <n v="4"/>
    <n v="50"/>
    <x v="7"/>
  </r>
  <r>
    <n v="511"/>
    <x v="269"/>
    <x v="510"/>
    <x v="0"/>
    <x v="5"/>
    <x v="0"/>
    <n v="2"/>
    <n v="50"/>
    <x v="4"/>
  </r>
  <r>
    <n v="512"/>
    <x v="155"/>
    <x v="511"/>
    <x v="1"/>
    <x v="35"/>
    <x v="0"/>
    <n v="1"/>
    <n v="25"/>
    <x v="16"/>
  </r>
  <r>
    <n v="513"/>
    <x v="270"/>
    <x v="512"/>
    <x v="0"/>
    <x v="46"/>
    <x v="2"/>
    <n v="4"/>
    <n v="25"/>
    <x v="4"/>
  </r>
  <r>
    <n v="514"/>
    <x v="240"/>
    <x v="513"/>
    <x v="1"/>
    <x v="18"/>
    <x v="2"/>
    <n v="1"/>
    <n v="300"/>
    <x v="13"/>
  </r>
  <r>
    <n v="515"/>
    <x v="115"/>
    <x v="514"/>
    <x v="1"/>
    <x v="19"/>
    <x v="1"/>
    <n v="3"/>
    <n v="300"/>
    <x v="12"/>
  </r>
  <r>
    <n v="516"/>
    <x v="54"/>
    <x v="515"/>
    <x v="0"/>
    <x v="4"/>
    <x v="0"/>
    <n v="4"/>
    <n v="25"/>
    <x v="4"/>
  </r>
  <r>
    <n v="517"/>
    <x v="181"/>
    <x v="516"/>
    <x v="1"/>
    <x v="16"/>
    <x v="1"/>
    <n v="4"/>
    <n v="25"/>
    <x v="4"/>
  </r>
  <r>
    <n v="518"/>
    <x v="271"/>
    <x v="517"/>
    <x v="1"/>
    <x v="30"/>
    <x v="1"/>
    <n v="1"/>
    <n v="30"/>
    <x v="2"/>
  </r>
  <r>
    <n v="519"/>
    <x v="43"/>
    <x v="518"/>
    <x v="1"/>
    <x v="32"/>
    <x v="2"/>
    <n v="4"/>
    <n v="30"/>
    <x v="10"/>
  </r>
  <r>
    <n v="520"/>
    <x v="167"/>
    <x v="519"/>
    <x v="1"/>
    <x v="19"/>
    <x v="2"/>
    <n v="4"/>
    <n v="25"/>
    <x v="4"/>
  </r>
  <r>
    <n v="521"/>
    <x v="269"/>
    <x v="520"/>
    <x v="1"/>
    <x v="16"/>
    <x v="1"/>
    <n v="4"/>
    <n v="30"/>
    <x v="10"/>
  </r>
  <r>
    <n v="522"/>
    <x v="137"/>
    <x v="521"/>
    <x v="0"/>
    <x v="6"/>
    <x v="0"/>
    <n v="3"/>
    <n v="500"/>
    <x v="9"/>
  </r>
  <r>
    <n v="523"/>
    <x v="272"/>
    <x v="522"/>
    <x v="1"/>
    <x v="17"/>
    <x v="2"/>
    <n v="1"/>
    <n v="300"/>
    <x v="13"/>
  </r>
  <r>
    <n v="524"/>
    <x v="99"/>
    <x v="523"/>
    <x v="0"/>
    <x v="6"/>
    <x v="0"/>
    <n v="4"/>
    <n v="300"/>
    <x v="14"/>
  </r>
  <r>
    <n v="525"/>
    <x v="244"/>
    <x v="524"/>
    <x v="1"/>
    <x v="16"/>
    <x v="0"/>
    <n v="2"/>
    <n v="25"/>
    <x v="5"/>
  </r>
  <r>
    <n v="526"/>
    <x v="70"/>
    <x v="525"/>
    <x v="0"/>
    <x v="44"/>
    <x v="1"/>
    <n v="2"/>
    <n v="50"/>
    <x v="4"/>
  </r>
  <r>
    <n v="527"/>
    <x v="273"/>
    <x v="526"/>
    <x v="0"/>
    <x v="35"/>
    <x v="1"/>
    <n v="2"/>
    <n v="25"/>
    <x v="5"/>
  </r>
  <r>
    <n v="528"/>
    <x v="65"/>
    <x v="527"/>
    <x v="1"/>
    <x v="32"/>
    <x v="1"/>
    <n v="2"/>
    <n v="30"/>
    <x v="17"/>
  </r>
  <r>
    <n v="529"/>
    <x v="183"/>
    <x v="528"/>
    <x v="1"/>
    <x v="10"/>
    <x v="1"/>
    <n v="3"/>
    <n v="50"/>
    <x v="0"/>
  </r>
  <r>
    <n v="530"/>
    <x v="57"/>
    <x v="529"/>
    <x v="1"/>
    <x v="18"/>
    <x v="2"/>
    <n v="4"/>
    <n v="30"/>
    <x v="10"/>
  </r>
  <r>
    <n v="531"/>
    <x v="274"/>
    <x v="530"/>
    <x v="0"/>
    <x v="33"/>
    <x v="2"/>
    <n v="1"/>
    <n v="500"/>
    <x v="3"/>
  </r>
  <r>
    <n v="532"/>
    <x v="171"/>
    <x v="531"/>
    <x v="1"/>
    <x v="12"/>
    <x v="1"/>
    <n v="4"/>
    <n v="30"/>
    <x v="10"/>
  </r>
  <r>
    <n v="533"/>
    <x v="275"/>
    <x v="532"/>
    <x v="0"/>
    <x v="14"/>
    <x v="2"/>
    <n v="3"/>
    <n v="500"/>
    <x v="9"/>
  </r>
  <r>
    <n v="534"/>
    <x v="210"/>
    <x v="533"/>
    <x v="0"/>
    <x v="5"/>
    <x v="1"/>
    <n v="2"/>
    <n v="500"/>
    <x v="1"/>
  </r>
  <r>
    <n v="535"/>
    <x v="237"/>
    <x v="534"/>
    <x v="0"/>
    <x v="16"/>
    <x v="0"/>
    <n v="3"/>
    <n v="30"/>
    <x v="15"/>
  </r>
  <r>
    <n v="536"/>
    <x v="46"/>
    <x v="535"/>
    <x v="1"/>
    <x v="28"/>
    <x v="0"/>
    <n v="4"/>
    <n v="30"/>
    <x v="10"/>
  </r>
  <r>
    <n v="537"/>
    <x v="226"/>
    <x v="536"/>
    <x v="1"/>
    <x v="34"/>
    <x v="0"/>
    <n v="1"/>
    <n v="500"/>
    <x v="3"/>
  </r>
  <r>
    <n v="538"/>
    <x v="129"/>
    <x v="537"/>
    <x v="0"/>
    <x v="18"/>
    <x v="1"/>
    <n v="3"/>
    <n v="50"/>
    <x v="0"/>
  </r>
  <r>
    <n v="539"/>
    <x v="276"/>
    <x v="538"/>
    <x v="0"/>
    <x v="36"/>
    <x v="0"/>
    <n v="1"/>
    <n v="500"/>
    <x v="3"/>
  </r>
  <r>
    <n v="540"/>
    <x v="236"/>
    <x v="539"/>
    <x v="1"/>
    <x v="6"/>
    <x v="2"/>
    <n v="3"/>
    <n v="300"/>
    <x v="12"/>
  </r>
  <r>
    <n v="541"/>
    <x v="277"/>
    <x v="540"/>
    <x v="0"/>
    <x v="37"/>
    <x v="0"/>
    <n v="1"/>
    <n v="500"/>
    <x v="3"/>
  </r>
  <r>
    <n v="542"/>
    <x v="278"/>
    <x v="541"/>
    <x v="1"/>
    <x v="29"/>
    <x v="0"/>
    <n v="1"/>
    <n v="50"/>
    <x v="5"/>
  </r>
  <r>
    <n v="543"/>
    <x v="191"/>
    <x v="542"/>
    <x v="0"/>
    <x v="19"/>
    <x v="0"/>
    <n v="2"/>
    <n v="300"/>
    <x v="6"/>
  </r>
  <r>
    <n v="544"/>
    <x v="204"/>
    <x v="543"/>
    <x v="1"/>
    <x v="15"/>
    <x v="2"/>
    <n v="1"/>
    <n v="25"/>
    <x v="16"/>
  </r>
  <r>
    <n v="545"/>
    <x v="207"/>
    <x v="544"/>
    <x v="0"/>
    <x v="15"/>
    <x v="1"/>
    <n v="2"/>
    <n v="25"/>
    <x v="5"/>
  </r>
  <r>
    <n v="546"/>
    <x v="120"/>
    <x v="545"/>
    <x v="1"/>
    <x v="32"/>
    <x v="2"/>
    <n v="4"/>
    <n v="50"/>
    <x v="7"/>
  </r>
  <r>
    <n v="547"/>
    <x v="150"/>
    <x v="546"/>
    <x v="0"/>
    <x v="7"/>
    <x v="1"/>
    <n v="4"/>
    <n v="500"/>
    <x v="11"/>
  </r>
  <r>
    <n v="548"/>
    <x v="55"/>
    <x v="547"/>
    <x v="1"/>
    <x v="25"/>
    <x v="1"/>
    <n v="2"/>
    <n v="30"/>
    <x v="17"/>
  </r>
  <r>
    <n v="549"/>
    <x v="279"/>
    <x v="548"/>
    <x v="1"/>
    <x v="2"/>
    <x v="0"/>
    <n v="2"/>
    <n v="50"/>
    <x v="4"/>
  </r>
  <r>
    <n v="550"/>
    <x v="274"/>
    <x v="549"/>
    <x v="0"/>
    <x v="30"/>
    <x v="1"/>
    <n v="3"/>
    <n v="300"/>
    <x v="12"/>
  </r>
  <r>
    <n v="551"/>
    <x v="37"/>
    <x v="550"/>
    <x v="0"/>
    <x v="5"/>
    <x v="2"/>
    <n v="3"/>
    <n v="300"/>
    <x v="12"/>
  </r>
  <r>
    <n v="552"/>
    <x v="8"/>
    <x v="551"/>
    <x v="1"/>
    <x v="19"/>
    <x v="2"/>
    <n v="3"/>
    <n v="25"/>
    <x v="8"/>
  </r>
  <r>
    <n v="553"/>
    <x v="280"/>
    <x v="552"/>
    <x v="0"/>
    <x v="46"/>
    <x v="1"/>
    <n v="4"/>
    <n v="300"/>
    <x v="14"/>
  </r>
  <r>
    <n v="554"/>
    <x v="281"/>
    <x v="553"/>
    <x v="1"/>
    <x v="6"/>
    <x v="0"/>
    <n v="3"/>
    <n v="50"/>
    <x v="0"/>
  </r>
  <r>
    <n v="555"/>
    <x v="218"/>
    <x v="554"/>
    <x v="0"/>
    <x v="36"/>
    <x v="0"/>
    <n v="1"/>
    <n v="300"/>
    <x v="13"/>
  </r>
  <r>
    <n v="556"/>
    <x v="234"/>
    <x v="555"/>
    <x v="1"/>
    <x v="18"/>
    <x v="2"/>
    <n v="1"/>
    <n v="50"/>
    <x v="5"/>
  </r>
  <r>
    <n v="557"/>
    <x v="282"/>
    <x v="556"/>
    <x v="1"/>
    <x v="29"/>
    <x v="0"/>
    <n v="3"/>
    <n v="30"/>
    <x v="15"/>
  </r>
  <r>
    <n v="558"/>
    <x v="283"/>
    <x v="557"/>
    <x v="1"/>
    <x v="41"/>
    <x v="1"/>
    <n v="1"/>
    <n v="25"/>
    <x v="16"/>
  </r>
  <r>
    <n v="559"/>
    <x v="137"/>
    <x v="558"/>
    <x v="1"/>
    <x v="30"/>
    <x v="1"/>
    <n v="4"/>
    <n v="300"/>
    <x v="14"/>
  </r>
  <r>
    <n v="560"/>
    <x v="284"/>
    <x v="559"/>
    <x v="1"/>
    <x v="36"/>
    <x v="2"/>
    <n v="1"/>
    <n v="50"/>
    <x v="5"/>
  </r>
  <r>
    <n v="561"/>
    <x v="203"/>
    <x v="560"/>
    <x v="1"/>
    <x v="12"/>
    <x v="1"/>
    <n v="4"/>
    <n v="500"/>
    <x v="11"/>
  </r>
  <r>
    <n v="562"/>
    <x v="69"/>
    <x v="561"/>
    <x v="0"/>
    <x v="31"/>
    <x v="2"/>
    <n v="2"/>
    <n v="25"/>
    <x v="5"/>
  </r>
  <r>
    <n v="563"/>
    <x v="183"/>
    <x v="562"/>
    <x v="0"/>
    <x v="29"/>
    <x v="1"/>
    <n v="2"/>
    <n v="30"/>
    <x v="17"/>
  </r>
  <r>
    <n v="564"/>
    <x v="208"/>
    <x v="563"/>
    <x v="0"/>
    <x v="2"/>
    <x v="2"/>
    <n v="2"/>
    <n v="50"/>
    <x v="4"/>
  </r>
  <r>
    <n v="565"/>
    <x v="155"/>
    <x v="564"/>
    <x v="1"/>
    <x v="5"/>
    <x v="0"/>
    <n v="2"/>
    <n v="30"/>
    <x v="17"/>
  </r>
  <r>
    <n v="566"/>
    <x v="92"/>
    <x v="565"/>
    <x v="1"/>
    <x v="12"/>
    <x v="1"/>
    <n v="1"/>
    <n v="30"/>
    <x v="2"/>
  </r>
  <r>
    <n v="567"/>
    <x v="285"/>
    <x v="566"/>
    <x v="1"/>
    <x v="36"/>
    <x v="1"/>
    <n v="3"/>
    <n v="300"/>
    <x v="12"/>
  </r>
  <r>
    <n v="568"/>
    <x v="286"/>
    <x v="567"/>
    <x v="1"/>
    <x v="25"/>
    <x v="2"/>
    <n v="1"/>
    <n v="300"/>
    <x v="13"/>
  </r>
  <r>
    <n v="569"/>
    <x v="196"/>
    <x v="568"/>
    <x v="0"/>
    <x v="8"/>
    <x v="2"/>
    <n v="4"/>
    <n v="50"/>
    <x v="7"/>
  </r>
  <r>
    <n v="570"/>
    <x v="196"/>
    <x v="569"/>
    <x v="0"/>
    <x v="19"/>
    <x v="1"/>
    <n v="1"/>
    <n v="500"/>
    <x v="3"/>
  </r>
  <r>
    <n v="571"/>
    <x v="216"/>
    <x v="570"/>
    <x v="1"/>
    <x v="41"/>
    <x v="2"/>
    <n v="1"/>
    <n v="50"/>
    <x v="5"/>
  </r>
  <r>
    <n v="572"/>
    <x v="175"/>
    <x v="571"/>
    <x v="0"/>
    <x v="33"/>
    <x v="1"/>
    <n v="4"/>
    <n v="500"/>
    <x v="11"/>
  </r>
  <r>
    <n v="573"/>
    <x v="270"/>
    <x v="572"/>
    <x v="0"/>
    <x v="19"/>
    <x v="0"/>
    <n v="2"/>
    <n v="30"/>
    <x v="17"/>
  </r>
  <r>
    <n v="574"/>
    <x v="178"/>
    <x v="573"/>
    <x v="1"/>
    <x v="7"/>
    <x v="2"/>
    <n v="2"/>
    <n v="25"/>
    <x v="5"/>
  </r>
  <r>
    <n v="575"/>
    <x v="287"/>
    <x v="574"/>
    <x v="0"/>
    <x v="43"/>
    <x v="1"/>
    <n v="2"/>
    <n v="50"/>
    <x v="4"/>
  </r>
  <r>
    <n v="576"/>
    <x v="151"/>
    <x v="575"/>
    <x v="1"/>
    <x v="44"/>
    <x v="0"/>
    <n v="3"/>
    <n v="50"/>
    <x v="0"/>
  </r>
  <r>
    <n v="577"/>
    <x v="146"/>
    <x v="576"/>
    <x v="0"/>
    <x v="34"/>
    <x v="0"/>
    <n v="4"/>
    <n v="500"/>
    <x v="11"/>
  </r>
  <r>
    <n v="578"/>
    <x v="232"/>
    <x v="577"/>
    <x v="1"/>
    <x v="31"/>
    <x v="1"/>
    <n v="4"/>
    <n v="30"/>
    <x v="10"/>
  </r>
  <r>
    <n v="579"/>
    <x v="172"/>
    <x v="578"/>
    <x v="1"/>
    <x v="21"/>
    <x v="2"/>
    <n v="1"/>
    <n v="30"/>
    <x v="2"/>
  </r>
  <r>
    <n v="580"/>
    <x v="237"/>
    <x v="579"/>
    <x v="1"/>
    <x v="33"/>
    <x v="1"/>
    <n v="3"/>
    <n v="500"/>
    <x v="9"/>
  </r>
  <r>
    <n v="581"/>
    <x v="245"/>
    <x v="580"/>
    <x v="1"/>
    <x v="27"/>
    <x v="0"/>
    <n v="2"/>
    <n v="30"/>
    <x v="17"/>
  </r>
  <r>
    <n v="582"/>
    <x v="220"/>
    <x v="581"/>
    <x v="0"/>
    <x v="10"/>
    <x v="1"/>
    <n v="3"/>
    <n v="300"/>
    <x v="12"/>
  </r>
  <r>
    <n v="583"/>
    <x v="288"/>
    <x v="582"/>
    <x v="1"/>
    <x v="46"/>
    <x v="2"/>
    <n v="4"/>
    <n v="25"/>
    <x v="4"/>
  </r>
  <r>
    <n v="584"/>
    <x v="15"/>
    <x v="583"/>
    <x v="1"/>
    <x v="15"/>
    <x v="0"/>
    <n v="4"/>
    <n v="50"/>
    <x v="7"/>
  </r>
  <r>
    <n v="585"/>
    <x v="217"/>
    <x v="584"/>
    <x v="1"/>
    <x v="46"/>
    <x v="1"/>
    <n v="1"/>
    <n v="25"/>
    <x v="16"/>
  </r>
  <r>
    <n v="586"/>
    <x v="186"/>
    <x v="585"/>
    <x v="0"/>
    <x v="2"/>
    <x v="2"/>
    <n v="1"/>
    <n v="50"/>
    <x v="5"/>
  </r>
  <r>
    <n v="587"/>
    <x v="276"/>
    <x v="586"/>
    <x v="1"/>
    <x v="30"/>
    <x v="0"/>
    <n v="4"/>
    <n v="300"/>
    <x v="14"/>
  </r>
  <r>
    <n v="588"/>
    <x v="164"/>
    <x v="587"/>
    <x v="0"/>
    <x v="21"/>
    <x v="2"/>
    <n v="2"/>
    <n v="30"/>
    <x v="17"/>
  </r>
  <r>
    <n v="589"/>
    <x v="22"/>
    <x v="588"/>
    <x v="1"/>
    <x v="32"/>
    <x v="0"/>
    <n v="2"/>
    <n v="500"/>
    <x v="1"/>
  </r>
  <r>
    <n v="590"/>
    <x v="255"/>
    <x v="589"/>
    <x v="0"/>
    <x v="32"/>
    <x v="1"/>
    <n v="3"/>
    <n v="300"/>
    <x v="12"/>
  </r>
  <r>
    <n v="591"/>
    <x v="2"/>
    <x v="590"/>
    <x v="0"/>
    <x v="45"/>
    <x v="2"/>
    <n v="4"/>
    <n v="25"/>
    <x v="4"/>
  </r>
  <r>
    <n v="592"/>
    <x v="58"/>
    <x v="591"/>
    <x v="1"/>
    <x v="6"/>
    <x v="0"/>
    <n v="4"/>
    <n v="500"/>
    <x v="11"/>
  </r>
  <r>
    <n v="593"/>
    <x v="4"/>
    <x v="592"/>
    <x v="0"/>
    <x v="10"/>
    <x v="2"/>
    <n v="2"/>
    <n v="30"/>
    <x v="17"/>
  </r>
  <r>
    <n v="594"/>
    <x v="152"/>
    <x v="593"/>
    <x v="1"/>
    <x v="14"/>
    <x v="2"/>
    <n v="2"/>
    <n v="300"/>
    <x v="6"/>
  </r>
  <r>
    <n v="595"/>
    <x v="289"/>
    <x v="594"/>
    <x v="1"/>
    <x v="18"/>
    <x v="1"/>
    <n v="4"/>
    <n v="500"/>
    <x v="11"/>
  </r>
  <r>
    <n v="596"/>
    <x v="227"/>
    <x v="595"/>
    <x v="1"/>
    <x v="12"/>
    <x v="2"/>
    <n v="1"/>
    <n v="300"/>
    <x v="13"/>
  </r>
  <r>
    <n v="597"/>
    <x v="290"/>
    <x v="596"/>
    <x v="0"/>
    <x v="11"/>
    <x v="0"/>
    <n v="4"/>
    <n v="300"/>
    <x v="14"/>
  </r>
  <r>
    <n v="598"/>
    <x v="291"/>
    <x v="597"/>
    <x v="0"/>
    <x v="3"/>
    <x v="0"/>
    <n v="4"/>
    <n v="30"/>
    <x v="10"/>
  </r>
  <r>
    <n v="599"/>
    <x v="292"/>
    <x v="598"/>
    <x v="1"/>
    <x v="20"/>
    <x v="0"/>
    <n v="2"/>
    <n v="50"/>
    <x v="4"/>
  </r>
  <r>
    <n v="600"/>
    <x v="293"/>
    <x v="599"/>
    <x v="1"/>
    <x v="42"/>
    <x v="0"/>
    <n v="2"/>
    <n v="500"/>
    <x v="1"/>
  </r>
  <r>
    <n v="601"/>
    <x v="294"/>
    <x v="600"/>
    <x v="0"/>
    <x v="14"/>
    <x v="1"/>
    <n v="1"/>
    <n v="30"/>
    <x v="2"/>
  </r>
  <r>
    <n v="602"/>
    <x v="204"/>
    <x v="601"/>
    <x v="1"/>
    <x v="29"/>
    <x v="2"/>
    <n v="1"/>
    <n v="300"/>
    <x v="13"/>
  </r>
  <r>
    <n v="603"/>
    <x v="295"/>
    <x v="602"/>
    <x v="1"/>
    <x v="30"/>
    <x v="1"/>
    <n v="3"/>
    <n v="30"/>
    <x v="15"/>
  </r>
  <r>
    <n v="604"/>
    <x v="296"/>
    <x v="603"/>
    <x v="1"/>
    <x v="38"/>
    <x v="2"/>
    <n v="4"/>
    <n v="50"/>
    <x v="7"/>
  </r>
  <r>
    <n v="605"/>
    <x v="104"/>
    <x v="604"/>
    <x v="0"/>
    <x v="3"/>
    <x v="2"/>
    <n v="2"/>
    <n v="500"/>
    <x v="1"/>
  </r>
  <r>
    <n v="606"/>
    <x v="179"/>
    <x v="605"/>
    <x v="0"/>
    <x v="11"/>
    <x v="2"/>
    <n v="1"/>
    <n v="50"/>
    <x v="5"/>
  </r>
  <r>
    <n v="607"/>
    <x v="255"/>
    <x v="606"/>
    <x v="0"/>
    <x v="31"/>
    <x v="1"/>
    <n v="3"/>
    <n v="25"/>
    <x v="8"/>
  </r>
  <r>
    <n v="608"/>
    <x v="92"/>
    <x v="607"/>
    <x v="1"/>
    <x v="28"/>
    <x v="2"/>
    <n v="3"/>
    <n v="500"/>
    <x v="9"/>
  </r>
  <r>
    <n v="609"/>
    <x v="80"/>
    <x v="608"/>
    <x v="1"/>
    <x v="16"/>
    <x v="1"/>
    <n v="2"/>
    <n v="50"/>
    <x v="4"/>
  </r>
  <r>
    <n v="610"/>
    <x v="297"/>
    <x v="609"/>
    <x v="1"/>
    <x v="1"/>
    <x v="0"/>
    <n v="2"/>
    <n v="300"/>
    <x v="6"/>
  </r>
  <r>
    <n v="611"/>
    <x v="130"/>
    <x v="610"/>
    <x v="0"/>
    <x v="25"/>
    <x v="0"/>
    <n v="3"/>
    <n v="500"/>
    <x v="9"/>
  </r>
  <r>
    <n v="612"/>
    <x v="298"/>
    <x v="611"/>
    <x v="1"/>
    <x v="39"/>
    <x v="2"/>
    <n v="1"/>
    <n v="500"/>
    <x v="3"/>
  </r>
  <r>
    <n v="613"/>
    <x v="26"/>
    <x v="612"/>
    <x v="1"/>
    <x v="8"/>
    <x v="1"/>
    <n v="3"/>
    <n v="30"/>
    <x v="15"/>
  </r>
  <r>
    <n v="614"/>
    <x v="258"/>
    <x v="613"/>
    <x v="1"/>
    <x v="23"/>
    <x v="0"/>
    <n v="4"/>
    <n v="300"/>
    <x v="14"/>
  </r>
  <r>
    <n v="615"/>
    <x v="204"/>
    <x v="614"/>
    <x v="1"/>
    <x v="39"/>
    <x v="1"/>
    <n v="4"/>
    <n v="25"/>
    <x v="4"/>
  </r>
  <r>
    <n v="616"/>
    <x v="299"/>
    <x v="615"/>
    <x v="0"/>
    <x v="41"/>
    <x v="1"/>
    <n v="2"/>
    <n v="50"/>
    <x v="4"/>
  </r>
  <r>
    <n v="617"/>
    <x v="300"/>
    <x v="616"/>
    <x v="0"/>
    <x v="0"/>
    <x v="2"/>
    <n v="1"/>
    <n v="30"/>
    <x v="2"/>
  </r>
  <r>
    <n v="618"/>
    <x v="197"/>
    <x v="617"/>
    <x v="1"/>
    <x v="15"/>
    <x v="0"/>
    <n v="1"/>
    <n v="50"/>
    <x v="5"/>
  </r>
  <r>
    <n v="619"/>
    <x v="81"/>
    <x v="618"/>
    <x v="0"/>
    <x v="16"/>
    <x v="2"/>
    <n v="4"/>
    <n v="25"/>
    <x v="4"/>
  </r>
  <r>
    <n v="620"/>
    <x v="193"/>
    <x v="619"/>
    <x v="0"/>
    <x v="7"/>
    <x v="2"/>
    <n v="3"/>
    <n v="25"/>
    <x v="8"/>
  </r>
  <r>
    <n v="621"/>
    <x v="301"/>
    <x v="620"/>
    <x v="1"/>
    <x v="30"/>
    <x v="0"/>
    <n v="2"/>
    <n v="500"/>
    <x v="1"/>
  </r>
  <r>
    <n v="622"/>
    <x v="290"/>
    <x v="621"/>
    <x v="1"/>
    <x v="19"/>
    <x v="0"/>
    <n v="3"/>
    <n v="25"/>
    <x v="8"/>
  </r>
  <r>
    <n v="623"/>
    <x v="239"/>
    <x v="622"/>
    <x v="0"/>
    <x v="0"/>
    <x v="1"/>
    <n v="3"/>
    <n v="50"/>
    <x v="0"/>
  </r>
  <r>
    <n v="624"/>
    <x v="300"/>
    <x v="623"/>
    <x v="1"/>
    <x v="0"/>
    <x v="0"/>
    <n v="3"/>
    <n v="300"/>
    <x v="12"/>
  </r>
  <r>
    <n v="625"/>
    <x v="236"/>
    <x v="624"/>
    <x v="0"/>
    <x v="33"/>
    <x v="1"/>
    <n v="1"/>
    <n v="300"/>
    <x v="13"/>
  </r>
  <r>
    <n v="626"/>
    <x v="136"/>
    <x v="625"/>
    <x v="1"/>
    <x v="1"/>
    <x v="1"/>
    <n v="4"/>
    <n v="500"/>
    <x v="11"/>
  </r>
  <r>
    <n v="627"/>
    <x v="257"/>
    <x v="626"/>
    <x v="0"/>
    <x v="35"/>
    <x v="1"/>
    <n v="1"/>
    <n v="50"/>
    <x v="5"/>
  </r>
  <r>
    <n v="628"/>
    <x v="215"/>
    <x v="627"/>
    <x v="1"/>
    <x v="14"/>
    <x v="0"/>
    <n v="4"/>
    <n v="50"/>
    <x v="7"/>
  </r>
  <r>
    <n v="629"/>
    <x v="302"/>
    <x v="628"/>
    <x v="0"/>
    <x v="17"/>
    <x v="2"/>
    <n v="2"/>
    <n v="25"/>
    <x v="5"/>
  </r>
  <r>
    <n v="630"/>
    <x v="196"/>
    <x v="629"/>
    <x v="0"/>
    <x v="13"/>
    <x v="1"/>
    <n v="2"/>
    <n v="50"/>
    <x v="4"/>
  </r>
  <r>
    <n v="631"/>
    <x v="235"/>
    <x v="630"/>
    <x v="0"/>
    <x v="37"/>
    <x v="2"/>
    <n v="3"/>
    <n v="30"/>
    <x v="15"/>
  </r>
  <r>
    <n v="632"/>
    <x v="18"/>
    <x v="631"/>
    <x v="1"/>
    <x v="1"/>
    <x v="2"/>
    <n v="4"/>
    <n v="25"/>
    <x v="4"/>
  </r>
  <r>
    <n v="633"/>
    <x v="252"/>
    <x v="632"/>
    <x v="0"/>
    <x v="23"/>
    <x v="0"/>
    <n v="4"/>
    <n v="30"/>
    <x v="10"/>
  </r>
  <r>
    <n v="634"/>
    <x v="283"/>
    <x v="633"/>
    <x v="0"/>
    <x v="43"/>
    <x v="2"/>
    <n v="4"/>
    <n v="500"/>
    <x v="11"/>
  </r>
  <r>
    <n v="635"/>
    <x v="303"/>
    <x v="634"/>
    <x v="1"/>
    <x v="7"/>
    <x v="2"/>
    <n v="3"/>
    <n v="300"/>
    <x v="12"/>
  </r>
  <r>
    <n v="636"/>
    <x v="31"/>
    <x v="635"/>
    <x v="1"/>
    <x v="34"/>
    <x v="0"/>
    <n v="3"/>
    <n v="500"/>
    <x v="9"/>
  </r>
  <r>
    <n v="637"/>
    <x v="152"/>
    <x v="636"/>
    <x v="0"/>
    <x v="22"/>
    <x v="1"/>
    <n v="2"/>
    <n v="300"/>
    <x v="6"/>
  </r>
  <r>
    <n v="638"/>
    <x v="304"/>
    <x v="637"/>
    <x v="0"/>
    <x v="6"/>
    <x v="2"/>
    <n v="1"/>
    <n v="500"/>
    <x v="3"/>
  </r>
  <r>
    <n v="639"/>
    <x v="305"/>
    <x v="638"/>
    <x v="1"/>
    <x v="17"/>
    <x v="0"/>
    <n v="4"/>
    <n v="50"/>
    <x v="7"/>
  </r>
  <r>
    <n v="640"/>
    <x v="98"/>
    <x v="639"/>
    <x v="1"/>
    <x v="25"/>
    <x v="2"/>
    <n v="4"/>
    <n v="30"/>
    <x v="10"/>
  </r>
  <r>
    <n v="641"/>
    <x v="250"/>
    <x v="640"/>
    <x v="1"/>
    <x v="30"/>
    <x v="2"/>
    <n v="1"/>
    <n v="300"/>
    <x v="13"/>
  </r>
  <r>
    <n v="642"/>
    <x v="247"/>
    <x v="641"/>
    <x v="1"/>
    <x v="31"/>
    <x v="1"/>
    <n v="4"/>
    <n v="25"/>
    <x v="4"/>
  </r>
  <r>
    <n v="643"/>
    <x v="272"/>
    <x v="642"/>
    <x v="1"/>
    <x v="20"/>
    <x v="2"/>
    <n v="3"/>
    <n v="30"/>
    <x v="15"/>
  </r>
  <r>
    <n v="644"/>
    <x v="147"/>
    <x v="643"/>
    <x v="0"/>
    <x v="9"/>
    <x v="0"/>
    <n v="3"/>
    <n v="25"/>
    <x v="8"/>
  </r>
  <r>
    <n v="645"/>
    <x v="131"/>
    <x v="644"/>
    <x v="1"/>
    <x v="10"/>
    <x v="2"/>
    <n v="4"/>
    <n v="30"/>
    <x v="10"/>
  </r>
  <r>
    <n v="646"/>
    <x v="143"/>
    <x v="645"/>
    <x v="0"/>
    <x v="21"/>
    <x v="1"/>
    <n v="3"/>
    <n v="30"/>
    <x v="15"/>
  </r>
  <r>
    <n v="647"/>
    <x v="3"/>
    <x v="646"/>
    <x v="0"/>
    <x v="42"/>
    <x v="1"/>
    <n v="3"/>
    <n v="500"/>
    <x v="9"/>
  </r>
  <r>
    <n v="648"/>
    <x v="306"/>
    <x v="647"/>
    <x v="0"/>
    <x v="45"/>
    <x v="0"/>
    <n v="4"/>
    <n v="300"/>
    <x v="14"/>
  </r>
  <r>
    <n v="649"/>
    <x v="307"/>
    <x v="648"/>
    <x v="1"/>
    <x v="26"/>
    <x v="1"/>
    <n v="2"/>
    <n v="300"/>
    <x v="6"/>
  </r>
  <r>
    <n v="650"/>
    <x v="158"/>
    <x v="649"/>
    <x v="0"/>
    <x v="28"/>
    <x v="2"/>
    <n v="1"/>
    <n v="30"/>
    <x v="2"/>
  </r>
  <r>
    <n v="651"/>
    <x v="203"/>
    <x v="650"/>
    <x v="0"/>
    <x v="25"/>
    <x v="1"/>
    <n v="3"/>
    <n v="50"/>
    <x v="0"/>
  </r>
  <r>
    <n v="652"/>
    <x v="217"/>
    <x v="651"/>
    <x v="1"/>
    <x v="0"/>
    <x v="0"/>
    <n v="2"/>
    <n v="50"/>
    <x v="4"/>
  </r>
  <r>
    <n v="653"/>
    <x v="241"/>
    <x v="652"/>
    <x v="0"/>
    <x v="31"/>
    <x v="1"/>
    <n v="3"/>
    <n v="25"/>
    <x v="8"/>
  </r>
  <r>
    <n v="654"/>
    <x v="288"/>
    <x v="653"/>
    <x v="0"/>
    <x v="13"/>
    <x v="1"/>
    <n v="3"/>
    <n v="25"/>
    <x v="8"/>
  </r>
  <r>
    <n v="655"/>
    <x v="308"/>
    <x v="654"/>
    <x v="1"/>
    <x v="28"/>
    <x v="1"/>
    <n v="1"/>
    <n v="500"/>
    <x v="3"/>
  </r>
  <r>
    <n v="656"/>
    <x v="135"/>
    <x v="655"/>
    <x v="0"/>
    <x v="38"/>
    <x v="0"/>
    <n v="3"/>
    <n v="30"/>
    <x v="15"/>
  </r>
  <r>
    <n v="657"/>
    <x v="213"/>
    <x v="656"/>
    <x v="0"/>
    <x v="30"/>
    <x v="1"/>
    <n v="1"/>
    <n v="25"/>
    <x v="16"/>
  </r>
  <r>
    <n v="658"/>
    <x v="105"/>
    <x v="657"/>
    <x v="0"/>
    <x v="42"/>
    <x v="1"/>
    <n v="1"/>
    <n v="25"/>
    <x v="16"/>
  </r>
  <r>
    <n v="659"/>
    <x v="309"/>
    <x v="658"/>
    <x v="1"/>
    <x v="23"/>
    <x v="2"/>
    <n v="1"/>
    <n v="30"/>
    <x v="2"/>
  </r>
  <r>
    <n v="660"/>
    <x v="310"/>
    <x v="659"/>
    <x v="1"/>
    <x v="21"/>
    <x v="0"/>
    <n v="2"/>
    <n v="500"/>
    <x v="1"/>
  </r>
  <r>
    <n v="661"/>
    <x v="295"/>
    <x v="660"/>
    <x v="1"/>
    <x v="24"/>
    <x v="1"/>
    <n v="4"/>
    <n v="25"/>
    <x v="4"/>
  </r>
  <r>
    <n v="662"/>
    <x v="311"/>
    <x v="661"/>
    <x v="0"/>
    <x v="27"/>
    <x v="0"/>
    <n v="2"/>
    <n v="500"/>
    <x v="1"/>
  </r>
  <r>
    <n v="663"/>
    <x v="111"/>
    <x v="662"/>
    <x v="0"/>
    <x v="9"/>
    <x v="1"/>
    <n v="4"/>
    <n v="300"/>
    <x v="14"/>
  </r>
  <r>
    <n v="664"/>
    <x v="251"/>
    <x v="663"/>
    <x v="1"/>
    <x v="24"/>
    <x v="1"/>
    <n v="4"/>
    <n v="500"/>
    <x v="11"/>
  </r>
  <r>
    <n v="665"/>
    <x v="175"/>
    <x v="664"/>
    <x v="0"/>
    <x v="35"/>
    <x v="1"/>
    <n v="1"/>
    <n v="50"/>
    <x v="5"/>
  </r>
  <r>
    <n v="666"/>
    <x v="114"/>
    <x v="665"/>
    <x v="0"/>
    <x v="25"/>
    <x v="2"/>
    <n v="3"/>
    <n v="50"/>
    <x v="0"/>
  </r>
  <r>
    <n v="667"/>
    <x v="291"/>
    <x v="666"/>
    <x v="1"/>
    <x v="38"/>
    <x v="2"/>
    <n v="1"/>
    <n v="500"/>
    <x v="3"/>
  </r>
  <r>
    <n v="668"/>
    <x v="180"/>
    <x v="667"/>
    <x v="1"/>
    <x v="17"/>
    <x v="2"/>
    <n v="3"/>
    <n v="50"/>
    <x v="0"/>
  </r>
  <r>
    <n v="669"/>
    <x v="171"/>
    <x v="668"/>
    <x v="0"/>
    <x v="46"/>
    <x v="0"/>
    <n v="4"/>
    <n v="300"/>
    <x v="14"/>
  </r>
  <r>
    <n v="670"/>
    <x v="209"/>
    <x v="669"/>
    <x v="0"/>
    <x v="15"/>
    <x v="0"/>
    <n v="1"/>
    <n v="30"/>
    <x v="2"/>
  </r>
  <r>
    <n v="671"/>
    <x v="286"/>
    <x v="670"/>
    <x v="0"/>
    <x v="17"/>
    <x v="2"/>
    <n v="3"/>
    <n v="50"/>
    <x v="0"/>
  </r>
  <r>
    <n v="672"/>
    <x v="291"/>
    <x v="671"/>
    <x v="1"/>
    <x v="0"/>
    <x v="0"/>
    <n v="2"/>
    <n v="50"/>
    <x v="4"/>
  </r>
  <r>
    <n v="673"/>
    <x v="190"/>
    <x v="672"/>
    <x v="1"/>
    <x v="22"/>
    <x v="1"/>
    <n v="3"/>
    <n v="500"/>
    <x v="9"/>
  </r>
  <r>
    <n v="674"/>
    <x v="312"/>
    <x v="673"/>
    <x v="1"/>
    <x v="21"/>
    <x v="1"/>
    <n v="1"/>
    <n v="300"/>
    <x v="13"/>
  </r>
  <r>
    <n v="675"/>
    <x v="279"/>
    <x v="674"/>
    <x v="1"/>
    <x v="5"/>
    <x v="1"/>
    <n v="2"/>
    <n v="30"/>
    <x v="17"/>
  </r>
  <r>
    <n v="676"/>
    <x v="202"/>
    <x v="675"/>
    <x v="0"/>
    <x v="7"/>
    <x v="2"/>
    <n v="3"/>
    <n v="500"/>
    <x v="9"/>
  </r>
  <r>
    <n v="677"/>
    <x v="101"/>
    <x v="676"/>
    <x v="1"/>
    <x v="14"/>
    <x v="0"/>
    <n v="3"/>
    <n v="500"/>
    <x v="9"/>
  </r>
  <r>
    <n v="678"/>
    <x v="204"/>
    <x v="677"/>
    <x v="1"/>
    <x v="43"/>
    <x v="2"/>
    <n v="3"/>
    <n v="300"/>
    <x v="12"/>
  </r>
  <r>
    <n v="679"/>
    <x v="166"/>
    <x v="678"/>
    <x v="1"/>
    <x v="18"/>
    <x v="0"/>
    <n v="3"/>
    <n v="30"/>
    <x v="15"/>
  </r>
  <r>
    <n v="680"/>
    <x v="293"/>
    <x v="679"/>
    <x v="1"/>
    <x v="45"/>
    <x v="1"/>
    <n v="3"/>
    <n v="300"/>
    <x v="12"/>
  </r>
  <r>
    <n v="681"/>
    <x v="37"/>
    <x v="680"/>
    <x v="1"/>
    <x v="22"/>
    <x v="2"/>
    <n v="2"/>
    <n v="30"/>
    <x v="17"/>
  </r>
  <r>
    <n v="682"/>
    <x v="211"/>
    <x v="681"/>
    <x v="0"/>
    <x v="6"/>
    <x v="0"/>
    <n v="4"/>
    <n v="300"/>
    <x v="14"/>
  </r>
  <r>
    <n v="683"/>
    <x v="30"/>
    <x v="682"/>
    <x v="0"/>
    <x v="21"/>
    <x v="0"/>
    <n v="2"/>
    <n v="500"/>
    <x v="1"/>
  </r>
  <r>
    <n v="684"/>
    <x v="313"/>
    <x v="683"/>
    <x v="1"/>
    <x v="20"/>
    <x v="1"/>
    <n v="2"/>
    <n v="500"/>
    <x v="1"/>
  </r>
  <r>
    <n v="685"/>
    <x v="132"/>
    <x v="684"/>
    <x v="0"/>
    <x v="35"/>
    <x v="2"/>
    <n v="2"/>
    <n v="25"/>
    <x v="5"/>
  </r>
  <r>
    <n v="686"/>
    <x v="202"/>
    <x v="685"/>
    <x v="1"/>
    <x v="20"/>
    <x v="2"/>
    <n v="4"/>
    <n v="50"/>
    <x v="7"/>
  </r>
  <r>
    <n v="687"/>
    <x v="25"/>
    <x v="686"/>
    <x v="1"/>
    <x v="45"/>
    <x v="2"/>
    <n v="1"/>
    <n v="300"/>
    <x v="13"/>
  </r>
  <r>
    <n v="688"/>
    <x v="99"/>
    <x v="687"/>
    <x v="0"/>
    <x v="37"/>
    <x v="1"/>
    <n v="4"/>
    <n v="25"/>
    <x v="4"/>
  </r>
  <r>
    <n v="689"/>
    <x v="9"/>
    <x v="688"/>
    <x v="0"/>
    <x v="35"/>
    <x v="2"/>
    <n v="2"/>
    <n v="50"/>
    <x v="4"/>
  </r>
  <r>
    <n v="690"/>
    <x v="19"/>
    <x v="689"/>
    <x v="1"/>
    <x v="8"/>
    <x v="1"/>
    <n v="3"/>
    <n v="300"/>
    <x v="12"/>
  </r>
  <r>
    <n v="691"/>
    <x v="26"/>
    <x v="690"/>
    <x v="1"/>
    <x v="25"/>
    <x v="1"/>
    <n v="3"/>
    <n v="30"/>
    <x v="15"/>
  </r>
  <r>
    <n v="692"/>
    <x v="206"/>
    <x v="691"/>
    <x v="1"/>
    <x v="12"/>
    <x v="1"/>
    <n v="2"/>
    <n v="50"/>
    <x v="4"/>
  </r>
  <r>
    <n v="693"/>
    <x v="26"/>
    <x v="692"/>
    <x v="0"/>
    <x v="41"/>
    <x v="0"/>
    <n v="3"/>
    <n v="500"/>
    <x v="9"/>
  </r>
  <r>
    <n v="694"/>
    <x v="241"/>
    <x v="693"/>
    <x v="1"/>
    <x v="23"/>
    <x v="2"/>
    <n v="2"/>
    <n v="25"/>
    <x v="5"/>
  </r>
  <r>
    <n v="695"/>
    <x v="269"/>
    <x v="694"/>
    <x v="1"/>
    <x v="11"/>
    <x v="2"/>
    <n v="3"/>
    <n v="50"/>
    <x v="0"/>
  </r>
  <r>
    <n v="696"/>
    <x v="147"/>
    <x v="695"/>
    <x v="1"/>
    <x v="2"/>
    <x v="1"/>
    <n v="4"/>
    <n v="50"/>
    <x v="7"/>
  </r>
  <r>
    <n v="697"/>
    <x v="267"/>
    <x v="696"/>
    <x v="0"/>
    <x v="45"/>
    <x v="1"/>
    <n v="1"/>
    <n v="500"/>
    <x v="3"/>
  </r>
  <r>
    <n v="698"/>
    <x v="202"/>
    <x v="697"/>
    <x v="1"/>
    <x v="12"/>
    <x v="2"/>
    <n v="1"/>
    <n v="300"/>
    <x v="13"/>
  </r>
  <r>
    <n v="699"/>
    <x v="36"/>
    <x v="698"/>
    <x v="1"/>
    <x v="3"/>
    <x v="1"/>
    <n v="4"/>
    <n v="30"/>
    <x v="10"/>
  </r>
  <r>
    <n v="700"/>
    <x v="174"/>
    <x v="699"/>
    <x v="0"/>
    <x v="32"/>
    <x v="2"/>
    <n v="4"/>
    <n v="500"/>
    <x v="11"/>
  </r>
  <r>
    <n v="701"/>
    <x v="266"/>
    <x v="700"/>
    <x v="1"/>
    <x v="8"/>
    <x v="0"/>
    <n v="2"/>
    <n v="30"/>
    <x v="17"/>
  </r>
  <r>
    <n v="702"/>
    <x v="282"/>
    <x v="701"/>
    <x v="1"/>
    <x v="43"/>
    <x v="1"/>
    <n v="2"/>
    <n v="300"/>
    <x v="6"/>
  </r>
  <r>
    <n v="703"/>
    <x v="154"/>
    <x v="702"/>
    <x v="0"/>
    <x v="0"/>
    <x v="2"/>
    <n v="2"/>
    <n v="50"/>
    <x v="4"/>
  </r>
  <r>
    <n v="704"/>
    <x v="117"/>
    <x v="703"/>
    <x v="1"/>
    <x v="17"/>
    <x v="1"/>
    <n v="3"/>
    <n v="30"/>
    <x v="15"/>
  </r>
  <r>
    <n v="705"/>
    <x v="150"/>
    <x v="704"/>
    <x v="0"/>
    <x v="43"/>
    <x v="2"/>
    <n v="2"/>
    <n v="25"/>
    <x v="5"/>
  </r>
  <r>
    <n v="706"/>
    <x v="229"/>
    <x v="705"/>
    <x v="0"/>
    <x v="25"/>
    <x v="2"/>
    <n v="4"/>
    <n v="25"/>
    <x v="4"/>
  </r>
  <r>
    <n v="707"/>
    <x v="77"/>
    <x v="706"/>
    <x v="1"/>
    <x v="1"/>
    <x v="1"/>
    <n v="1"/>
    <n v="500"/>
    <x v="3"/>
  </r>
  <r>
    <n v="708"/>
    <x v="20"/>
    <x v="707"/>
    <x v="1"/>
    <x v="22"/>
    <x v="0"/>
    <n v="3"/>
    <n v="300"/>
    <x v="12"/>
  </r>
  <r>
    <n v="709"/>
    <x v="314"/>
    <x v="708"/>
    <x v="1"/>
    <x v="14"/>
    <x v="2"/>
    <n v="2"/>
    <n v="500"/>
    <x v="1"/>
  </r>
  <r>
    <n v="710"/>
    <x v="315"/>
    <x v="709"/>
    <x v="1"/>
    <x v="1"/>
    <x v="2"/>
    <n v="3"/>
    <n v="500"/>
    <x v="9"/>
  </r>
  <r>
    <n v="711"/>
    <x v="230"/>
    <x v="710"/>
    <x v="0"/>
    <x v="1"/>
    <x v="2"/>
    <n v="3"/>
    <n v="500"/>
    <x v="9"/>
  </r>
  <r>
    <n v="712"/>
    <x v="237"/>
    <x v="711"/>
    <x v="1"/>
    <x v="35"/>
    <x v="0"/>
    <n v="2"/>
    <n v="25"/>
    <x v="5"/>
  </r>
  <r>
    <n v="713"/>
    <x v="20"/>
    <x v="712"/>
    <x v="0"/>
    <x v="0"/>
    <x v="0"/>
    <n v="3"/>
    <n v="25"/>
    <x v="8"/>
  </r>
  <r>
    <n v="714"/>
    <x v="316"/>
    <x v="713"/>
    <x v="1"/>
    <x v="18"/>
    <x v="1"/>
    <n v="1"/>
    <n v="500"/>
    <x v="3"/>
  </r>
  <r>
    <n v="715"/>
    <x v="95"/>
    <x v="714"/>
    <x v="1"/>
    <x v="13"/>
    <x v="0"/>
    <n v="4"/>
    <n v="25"/>
    <x v="4"/>
  </r>
  <r>
    <n v="716"/>
    <x v="102"/>
    <x v="715"/>
    <x v="1"/>
    <x v="43"/>
    <x v="1"/>
    <n v="4"/>
    <n v="300"/>
    <x v="14"/>
  </r>
  <r>
    <n v="717"/>
    <x v="317"/>
    <x v="716"/>
    <x v="0"/>
    <x v="35"/>
    <x v="1"/>
    <n v="1"/>
    <n v="500"/>
    <x v="3"/>
  </r>
  <r>
    <n v="718"/>
    <x v="78"/>
    <x v="717"/>
    <x v="1"/>
    <x v="42"/>
    <x v="0"/>
    <n v="3"/>
    <n v="25"/>
    <x v="8"/>
  </r>
  <r>
    <n v="719"/>
    <x v="194"/>
    <x v="718"/>
    <x v="1"/>
    <x v="13"/>
    <x v="1"/>
    <n v="2"/>
    <n v="30"/>
    <x v="17"/>
  </r>
  <r>
    <n v="720"/>
    <x v="197"/>
    <x v="719"/>
    <x v="1"/>
    <x v="37"/>
    <x v="0"/>
    <n v="3"/>
    <n v="500"/>
    <x v="9"/>
  </r>
  <r>
    <n v="721"/>
    <x v="224"/>
    <x v="720"/>
    <x v="1"/>
    <x v="8"/>
    <x v="1"/>
    <n v="1"/>
    <n v="500"/>
    <x v="3"/>
  </r>
  <r>
    <n v="722"/>
    <x v="37"/>
    <x v="721"/>
    <x v="0"/>
    <x v="29"/>
    <x v="0"/>
    <n v="3"/>
    <n v="300"/>
    <x v="12"/>
  </r>
  <r>
    <n v="723"/>
    <x v="278"/>
    <x v="722"/>
    <x v="1"/>
    <x v="31"/>
    <x v="0"/>
    <n v="4"/>
    <n v="50"/>
    <x v="7"/>
  </r>
  <r>
    <n v="724"/>
    <x v="90"/>
    <x v="723"/>
    <x v="0"/>
    <x v="39"/>
    <x v="1"/>
    <n v="3"/>
    <n v="50"/>
    <x v="0"/>
  </r>
  <r>
    <n v="725"/>
    <x v="63"/>
    <x v="724"/>
    <x v="0"/>
    <x v="39"/>
    <x v="2"/>
    <n v="1"/>
    <n v="300"/>
    <x v="13"/>
  </r>
  <r>
    <n v="726"/>
    <x v="278"/>
    <x v="725"/>
    <x v="0"/>
    <x v="16"/>
    <x v="1"/>
    <n v="4"/>
    <n v="300"/>
    <x v="14"/>
  </r>
  <r>
    <n v="727"/>
    <x v="36"/>
    <x v="726"/>
    <x v="0"/>
    <x v="28"/>
    <x v="0"/>
    <n v="3"/>
    <n v="300"/>
    <x v="12"/>
  </r>
  <r>
    <n v="728"/>
    <x v="37"/>
    <x v="727"/>
    <x v="0"/>
    <x v="25"/>
    <x v="2"/>
    <n v="3"/>
    <n v="50"/>
    <x v="0"/>
  </r>
  <r>
    <n v="729"/>
    <x v="29"/>
    <x v="728"/>
    <x v="0"/>
    <x v="38"/>
    <x v="1"/>
    <n v="4"/>
    <n v="300"/>
    <x v="14"/>
  </r>
  <r>
    <n v="730"/>
    <x v="279"/>
    <x v="729"/>
    <x v="1"/>
    <x v="32"/>
    <x v="1"/>
    <n v="2"/>
    <n v="25"/>
    <x v="5"/>
  </r>
  <r>
    <n v="731"/>
    <x v="318"/>
    <x v="730"/>
    <x v="0"/>
    <x v="31"/>
    <x v="1"/>
    <n v="4"/>
    <n v="500"/>
    <x v="11"/>
  </r>
  <r>
    <n v="732"/>
    <x v="213"/>
    <x v="731"/>
    <x v="0"/>
    <x v="39"/>
    <x v="2"/>
    <n v="2"/>
    <n v="500"/>
    <x v="1"/>
  </r>
  <r>
    <n v="733"/>
    <x v="261"/>
    <x v="732"/>
    <x v="0"/>
    <x v="0"/>
    <x v="0"/>
    <n v="1"/>
    <n v="30"/>
    <x v="2"/>
  </r>
  <r>
    <n v="734"/>
    <x v="141"/>
    <x v="733"/>
    <x v="1"/>
    <x v="15"/>
    <x v="1"/>
    <n v="1"/>
    <n v="30"/>
    <x v="2"/>
  </r>
  <r>
    <n v="735"/>
    <x v="135"/>
    <x v="734"/>
    <x v="1"/>
    <x v="12"/>
    <x v="1"/>
    <n v="4"/>
    <n v="500"/>
    <x v="11"/>
  </r>
  <r>
    <n v="736"/>
    <x v="246"/>
    <x v="735"/>
    <x v="0"/>
    <x v="38"/>
    <x v="1"/>
    <n v="4"/>
    <n v="25"/>
    <x v="4"/>
  </r>
  <r>
    <n v="737"/>
    <x v="263"/>
    <x v="736"/>
    <x v="1"/>
    <x v="44"/>
    <x v="1"/>
    <n v="1"/>
    <n v="50"/>
    <x v="5"/>
  </r>
  <r>
    <n v="738"/>
    <x v="5"/>
    <x v="737"/>
    <x v="0"/>
    <x v="41"/>
    <x v="1"/>
    <n v="2"/>
    <n v="50"/>
    <x v="4"/>
  </r>
  <r>
    <n v="739"/>
    <x v="23"/>
    <x v="738"/>
    <x v="0"/>
    <x v="32"/>
    <x v="0"/>
    <n v="1"/>
    <n v="25"/>
    <x v="16"/>
  </r>
  <r>
    <n v="740"/>
    <x v="57"/>
    <x v="739"/>
    <x v="1"/>
    <x v="36"/>
    <x v="0"/>
    <n v="4"/>
    <n v="50"/>
    <x v="7"/>
  </r>
  <r>
    <n v="741"/>
    <x v="198"/>
    <x v="740"/>
    <x v="0"/>
    <x v="27"/>
    <x v="1"/>
    <n v="1"/>
    <n v="300"/>
    <x v="13"/>
  </r>
  <r>
    <n v="742"/>
    <x v="219"/>
    <x v="741"/>
    <x v="1"/>
    <x v="21"/>
    <x v="2"/>
    <n v="4"/>
    <n v="500"/>
    <x v="11"/>
  </r>
  <r>
    <n v="743"/>
    <x v="14"/>
    <x v="742"/>
    <x v="1"/>
    <x v="0"/>
    <x v="0"/>
    <n v="4"/>
    <n v="500"/>
    <x v="11"/>
  </r>
  <r>
    <n v="744"/>
    <x v="98"/>
    <x v="743"/>
    <x v="0"/>
    <x v="30"/>
    <x v="2"/>
    <n v="1"/>
    <n v="25"/>
    <x v="16"/>
  </r>
  <r>
    <n v="745"/>
    <x v="157"/>
    <x v="744"/>
    <x v="0"/>
    <x v="31"/>
    <x v="0"/>
    <n v="2"/>
    <n v="50"/>
    <x v="4"/>
  </r>
  <r>
    <n v="746"/>
    <x v="166"/>
    <x v="745"/>
    <x v="1"/>
    <x v="44"/>
    <x v="1"/>
    <n v="3"/>
    <n v="30"/>
    <x v="15"/>
  </r>
  <r>
    <n v="747"/>
    <x v="229"/>
    <x v="746"/>
    <x v="0"/>
    <x v="9"/>
    <x v="0"/>
    <n v="1"/>
    <n v="30"/>
    <x v="2"/>
  </r>
  <r>
    <n v="748"/>
    <x v="111"/>
    <x v="747"/>
    <x v="0"/>
    <x v="36"/>
    <x v="1"/>
    <n v="3"/>
    <n v="50"/>
    <x v="0"/>
  </r>
  <r>
    <n v="749"/>
    <x v="143"/>
    <x v="748"/>
    <x v="0"/>
    <x v="13"/>
    <x v="0"/>
    <n v="1"/>
    <n v="30"/>
    <x v="2"/>
  </r>
  <r>
    <n v="750"/>
    <x v="149"/>
    <x v="749"/>
    <x v="1"/>
    <x v="10"/>
    <x v="1"/>
    <n v="3"/>
    <n v="25"/>
    <x v="8"/>
  </r>
  <r>
    <n v="751"/>
    <x v="178"/>
    <x v="750"/>
    <x v="1"/>
    <x v="13"/>
    <x v="1"/>
    <n v="2"/>
    <n v="25"/>
    <x v="5"/>
  </r>
  <r>
    <n v="752"/>
    <x v="174"/>
    <x v="751"/>
    <x v="0"/>
    <x v="38"/>
    <x v="1"/>
    <n v="2"/>
    <n v="50"/>
    <x v="4"/>
  </r>
  <r>
    <n v="753"/>
    <x v="122"/>
    <x v="752"/>
    <x v="1"/>
    <x v="40"/>
    <x v="1"/>
    <n v="1"/>
    <n v="30"/>
    <x v="2"/>
  </r>
  <r>
    <n v="754"/>
    <x v="230"/>
    <x v="753"/>
    <x v="1"/>
    <x v="22"/>
    <x v="2"/>
    <n v="4"/>
    <n v="25"/>
    <x v="4"/>
  </r>
  <r>
    <n v="755"/>
    <x v="16"/>
    <x v="754"/>
    <x v="1"/>
    <x v="26"/>
    <x v="1"/>
    <n v="3"/>
    <n v="25"/>
    <x v="8"/>
  </r>
  <r>
    <n v="756"/>
    <x v="286"/>
    <x v="755"/>
    <x v="1"/>
    <x v="17"/>
    <x v="2"/>
    <n v="4"/>
    <n v="300"/>
    <x v="14"/>
  </r>
  <r>
    <n v="757"/>
    <x v="319"/>
    <x v="756"/>
    <x v="1"/>
    <x v="22"/>
    <x v="2"/>
    <n v="4"/>
    <n v="300"/>
    <x v="14"/>
  </r>
  <r>
    <n v="758"/>
    <x v="320"/>
    <x v="757"/>
    <x v="0"/>
    <x v="12"/>
    <x v="1"/>
    <n v="4"/>
    <n v="25"/>
    <x v="4"/>
  </r>
  <r>
    <n v="759"/>
    <x v="321"/>
    <x v="758"/>
    <x v="0"/>
    <x v="19"/>
    <x v="2"/>
    <n v="2"/>
    <n v="50"/>
    <x v="4"/>
  </r>
  <r>
    <n v="760"/>
    <x v="200"/>
    <x v="759"/>
    <x v="0"/>
    <x v="15"/>
    <x v="0"/>
    <n v="1"/>
    <n v="500"/>
    <x v="3"/>
  </r>
  <r>
    <n v="761"/>
    <x v="155"/>
    <x v="760"/>
    <x v="1"/>
    <x v="44"/>
    <x v="1"/>
    <n v="1"/>
    <n v="500"/>
    <x v="3"/>
  </r>
  <r>
    <n v="762"/>
    <x v="155"/>
    <x v="761"/>
    <x v="1"/>
    <x v="46"/>
    <x v="2"/>
    <n v="2"/>
    <n v="25"/>
    <x v="5"/>
  </r>
  <r>
    <n v="763"/>
    <x v="122"/>
    <x v="762"/>
    <x v="0"/>
    <x v="0"/>
    <x v="1"/>
    <n v="2"/>
    <n v="25"/>
    <x v="5"/>
  </r>
  <r>
    <n v="764"/>
    <x v="66"/>
    <x v="763"/>
    <x v="1"/>
    <x v="30"/>
    <x v="1"/>
    <n v="1"/>
    <n v="25"/>
    <x v="16"/>
  </r>
  <r>
    <n v="765"/>
    <x v="159"/>
    <x v="764"/>
    <x v="0"/>
    <x v="22"/>
    <x v="1"/>
    <n v="4"/>
    <n v="50"/>
    <x v="7"/>
  </r>
  <r>
    <n v="766"/>
    <x v="192"/>
    <x v="765"/>
    <x v="0"/>
    <x v="21"/>
    <x v="2"/>
    <n v="3"/>
    <n v="300"/>
    <x v="12"/>
  </r>
  <r>
    <n v="767"/>
    <x v="208"/>
    <x v="766"/>
    <x v="0"/>
    <x v="23"/>
    <x v="0"/>
    <n v="3"/>
    <n v="25"/>
    <x v="8"/>
  </r>
  <r>
    <n v="768"/>
    <x v="20"/>
    <x v="767"/>
    <x v="1"/>
    <x v="46"/>
    <x v="0"/>
    <n v="3"/>
    <n v="25"/>
    <x v="8"/>
  </r>
  <r>
    <n v="769"/>
    <x v="159"/>
    <x v="768"/>
    <x v="1"/>
    <x v="33"/>
    <x v="2"/>
    <n v="4"/>
    <n v="30"/>
    <x v="10"/>
  </r>
  <r>
    <n v="770"/>
    <x v="293"/>
    <x v="769"/>
    <x v="0"/>
    <x v="40"/>
    <x v="1"/>
    <n v="1"/>
    <n v="50"/>
    <x v="5"/>
  </r>
  <r>
    <n v="771"/>
    <x v="8"/>
    <x v="770"/>
    <x v="0"/>
    <x v="46"/>
    <x v="2"/>
    <n v="2"/>
    <n v="25"/>
    <x v="5"/>
  </r>
  <r>
    <n v="772"/>
    <x v="322"/>
    <x v="771"/>
    <x v="0"/>
    <x v="1"/>
    <x v="2"/>
    <n v="1"/>
    <n v="30"/>
    <x v="2"/>
  </r>
  <r>
    <n v="773"/>
    <x v="323"/>
    <x v="772"/>
    <x v="0"/>
    <x v="36"/>
    <x v="2"/>
    <n v="4"/>
    <n v="500"/>
    <x v="11"/>
  </r>
  <r>
    <n v="774"/>
    <x v="22"/>
    <x v="773"/>
    <x v="1"/>
    <x v="30"/>
    <x v="1"/>
    <n v="2"/>
    <n v="25"/>
    <x v="5"/>
  </r>
  <r>
    <n v="775"/>
    <x v="195"/>
    <x v="774"/>
    <x v="1"/>
    <x v="6"/>
    <x v="2"/>
    <n v="4"/>
    <n v="25"/>
    <x v="4"/>
  </r>
  <r>
    <n v="776"/>
    <x v="315"/>
    <x v="775"/>
    <x v="0"/>
    <x v="10"/>
    <x v="1"/>
    <n v="3"/>
    <n v="30"/>
    <x v="15"/>
  </r>
  <r>
    <n v="777"/>
    <x v="156"/>
    <x v="776"/>
    <x v="0"/>
    <x v="27"/>
    <x v="2"/>
    <n v="3"/>
    <n v="50"/>
    <x v="0"/>
  </r>
  <r>
    <n v="778"/>
    <x v="51"/>
    <x v="777"/>
    <x v="1"/>
    <x v="16"/>
    <x v="0"/>
    <n v="4"/>
    <n v="25"/>
    <x v="4"/>
  </r>
  <r>
    <n v="779"/>
    <x v="179"/>
    <x v="778"/>
    <x v="1"/>
    <x v="37"/>
    <x v="2"/>
    <n v="2"/>
    <n v="500"/>
    <x v="1"/>
  </r>
  <r>
    <n v="780"/>
    <x v="7"/>
    <x v="779"/>
    <x v="0"/>
    <x v="8"/>
    <x v="2"/>
    <n v="2"/>
    <n v="25"/>
    <x v="5"/>
  </r>
  <r>
    <n v="781"/>
    <x v="204"/>
    <x v="780"/>
    <x v="0"/>
    <x v="10"/>
    <x v="0"/>
    <n v="1"/>
    <n v="500"/>
    <x v="3"/>
  </r>
  <r>
    <n v="782"/>
    <x v="234"/>
    <x v="781"/>
    <x v="0"/>
    <x v="42"/>
    <x v="1"/>
    <n v="3"/>
    <n v="300"/>
    <x v="12"/>
  </r>
  <r>
    <n v="783"/>
    <x v="82"/>
    <x v="782"/>
    <x v="1"/>
    <x v="37"/>
    <x v="1"/>
    <n v="1"/>
    <n v="300"/>
    <x v="13"/>
  </r>
  <r>
    <n v="784"/>
    <x v="324"/>
    <x v="783"/>
    <x v="1"/>
    <x v="0"/>
    <x v="2"/>
    <n v="1"/>
    <n v="500"/>
    <x v="3"/>
  </r>
  <r>
    <n v="785"/>
    <x v="163"/>
    <x v="784"/>
    <x v="1"/>
    <x v="33"/>
    <x v="0"/>
    <n v="4"/>
    <n v="50"/>
    <x v="7"/>
  </r>
  <r>
    <n v="786"/>
    <x v="222"/>
    <x v="785"/>
    <x v="0"/>
    <x v="27"/>
    <x v="1"/>
    <n v="4"/>
    <n v="25"/>
    <x v="4"/>
  </r>
  <r>
    <n v="787"/>
    <x v="256"/>
    <x v="786"/>
    <x v="0"/>
    <x v="41"/>
    <x v="2"/>
    <n v="1"/>
    <n v="25"/>
    <x v="16"/>
  </r>
  <r>
    <n v="788"/>
    <x v="325"/>
    <x v="787"/>
    <x v="1"/>
    <x v="8"/>
    <x v="0"/>
    <n v="3"/>
    <n v="300"/>
    <x v="12"/>
  </r>
  <r>
    <n v="789"/>
    <x v="148"/>
    <x v="788"/>
    <x v="1"/>
    <x v="39"/>
    <x v="1"/>
    <n v="4"/>
    <n v="500"/>
    <x v="11"/>
  </r>
  <r>
    <n v="790"/>
    <x v="102"/>
    <x v="789"/>
    <x v="0"/>
    <x v="17"/>
    <x v="1"/>
    <n v="1"/>
    <n v="25"/>
    <x v="16"/>
  </r>
  <r>
    <n v="791"/>
    <x v="59"/>
    <x v="790"/>
    <x v="1"/>
    <x v="25"/>
    <x v="0"/>
    <n v="1"/>
    <n v="25"/>
    <x v="16"/>
  </r>
  <r>
    <n v="792"/>
    <x v="67"/>
    <x v="791"/>
    <x v="1"/>
    <x v="29"/>
    <x v="0"/>
    <n v="1"/>
    <n v="50"/>
    <x v="5"/>
  </r>
  <r>
    <n v="793"/>
    <x v="57"/>
    <x v="792"/>
    <x v="0"/>
    <x v="31"/>
    <x v="0"/>
    <n v="1"/>
    <n v="30"/>
    <x v="2"/>
  </r>
  <r>
    <n v="794"/>
    <x v="129"/>
    <x v="793"/>
    <x v="1"/>
    <x v="43"/>
    <x v="0"/>
    <n v="1"/>
    <n v="300"/>
    <x v="13"/>
  </r>
  <r>
    <n v="795"/>
    <x v="73"/>
    <x v="794"/>
    <x v="0"/>
    <x v="35"/>
    <x v="2"/>
    <n v="1"/>
    <n v="300"/>
    <x v="13"/>
  </r>
  <r>
    <n v="796"/>
    <x v="33"/>
    <x v="795"/>
    <x v="0"/>
    <x v="22"/>
    <x v="0"/>
    <n v="4"/>
    <n v="30"/>
    <x v="10"/>
  </r>
  <r>
    <n v="797"/>
    <x v="326"/>
    <x v="796"/>
    <x v="0"/>
    <x v="30"/>
    <x v="1"/>
    <n v="3"/>
    <n v="25"/>
    <x v="8"/>
  </r>
  <r>
    <n v="798"/>
    <x v="279"/>
    <x v="797"/>
    <x v="0"/>
    <x v="39"/>
    <x v="1"/>
    <n v="1"/>
    <n v="50"/>
    <x v="5"/>
  </r>
  <r>
    <n v="799"/>
    <x v="140"/>
    <x v="798"/>
    <x v="0"/>
    <x v="37"/>
    <x v="2"/>
    <n v="2"/>
    <n v="50"/>
    <x v="4"/>
  </r>
  <r>
    <n v="800"/>
    <x v="130"/>
    <x v="799"/>
    <x v="0"/>
    <x v="40"/>
    <x v="1"/>
    <n v="4"/>
    <n v="300"/>
    <x v="14"/>
  </r>
  <r>
    <n v="801"/>
    <x v="327"/>
    <x v="800"/>
    <x v="0"/>
    <x v="34"/>
    <x v="1"/>
    <n v="4"/>
    <n v="50"/>
    <x v="7"/>
  </r>
  <r>
    <n v="802"/>
    <x v="53"/>
    <x v="801"/>
    <x v="1"/>
    <x v="6"/>
    <x v="0"/>
    <n v="1"/>
    <n v="30"/>
    <x v="2"/>
  </r>
  <r>
    <n v="803"/>
    <x v="64"/>
    <x v="802"/>
    <x v="0"/>
    <x v="23"/>
    <x v="1"/>
    <n v="4"/>
    <n v="25"/>
    <x v="4"/>
  </r>
  <r>
    <n v="804"/>
    <x v="44"/>
    <x v="803"/>
    <x v="0"/>
    <x v="13"/>
    <x v="2"/>
    <n v="1"/>
    <n v="30"/>
    <x v="2"/>
  </r>
  <r>
    <n v="805"/>
    <x v="167"/>
    <x v="804"/>
    <x v="1"/>
    <x v="4"/>
    <x v="0"/>
    <n v="3"/>
    <n v="500"/>
    <x v="9"/>
  </r>
  <r>
    <n v="806"/>
    <x v="111"/>
    <x v="805"/>
    <x v="1"/>
    <x v="10"/>
    <x v="0"/>
    <n v="3"/>
    <n v="300"/>
    <x v="12"/>
  </r>
  <r>
    <n v="807"/>
    <x v="124"/>
    <x v="806"/>
    <x v="1"/>
    <x v="2"/>
    <x v="2"/>
    <n v="4"/>
    <n v="50"/>
    <x v="7"/>
  </r>
  <r>
    <n v="808"/>
    <x v="258"/>
    <x v="807"/>
    <x v="0"/>
    <x v="44"/>
    <x v="0"/>
    <n v="4"/>
    <n v="500"/>
    <x v="11"/>
  </r>
  <r>
    <n v="809"/>
    <x v="223"/>
    <x v="808"/>
    <x v="1"/>
    <x v="17"/>
    <x v="0"/>
    <n v="2"/>
    <n v="50"/>
    <x v="4"/>
  </r>
  <r>
    <n v="810"/>
    <x v="198"/>
    <x v="809"/>
    <x v="0"/>
    <x v="42"/>
    <x v="2"/>
    <n v="4"/>
    <n v="25"/>
    <x v="4"/>
  </r>
  <r>
    <n v="811"/>
    <x v="79"/>
    <x v="810"/>
    <x v="0"/>
    <x v="39"/>
    <x v="0"/>
    <n v="2"/>
    <n v="25"/>
    <x v="5"/>
  </r>
  <r>
    <n v="812"/>
    <x v="281"/>
    <x v="811"/>
    <x v="0"/>
    <x v="14"/>
    <x v="2"/>
    <n v="3"/>
    <n v="25"/>
    <x v="8"/>
  </r>
  <r>
    <n v="813"/>
    <x v="99"/>
    <x v="812"/>
    <x v="0"/>
    <x v="8"/>
    <x v="2"/>
    <n v="3"/>
    <n v="50"/>
    <x v="0"/>
  </r>
  <r>
    <n v="814"/>
    <x v="328"/>
    <x v="813"/>
    <x v="1"/>
    <x v="42"/>
    <x v="1"/>
    <n v="1"/>
    <n v="500"/>
    <x v="3"/>
  </r>
  <r>
    <n v="815"/>
    <x v="286"/>
    <x v="814"/>
    <x v="1"/>
    <x v="25"/>
    <x v="1"/>
    <n v="3"/>
    <n v="25"/>
    <x v="8"/>
  </r>
  <r>
    <n v="816"/>
    <x v="269"/>
    <x v="815"/>
    <x v="0"/>
    <x v="16"/>
    <x v="0"/>
    <n v="2"/>
    <n v="500"/>
    <x v="1"/>
  </r>
  <r>
    <n v="817"/>
    <x v="315"/>
    <x v="816"/>
    <x v="0"/>
    <x v="4"/>
    <x v="0"/>
    <n v="4"/>
    <n v="50"/>
    <x v="7"/>
  </r>
  <r>
    <n v="818"/>
    <x v="88"/>
    <x v="817"/>
    <x v="0"/>
    <x v="4"/>
    <x v="2"/>
    <n v="1"/>
    <n v="500"/>
    <x v="3"/>
  </r>
  <r>
    <n v="819"/>
    <x v="139"/>
    <x v="818"/>
    <x v="1"/>
    <x v="10"/>
    <x v="0"/>
    <n v="2"/>
    <n v="50"/>
    <x v="4"/>
  </r>
  <r>
    <n v="820"/>
    <x v="4"/>
    <x v="819"/>
    <x v="0"/>
    <x v="19"/>
    <x v="2"/>
    <n v="4"/>
    <n v="50"/>
    <x v="7"/>
  </r>
  <r>
    <n v="821"/>
    <x v="10"/>
    <x v="820"/>
    <x v="0"/>
    <x v="19"/>
    <x v="2"/>
    <n v="1"/>
    <n v="300"/>
    <x v="13"/>
  </r>
  <r>
    <n v="822"/>
    <x v="29"/>
    <x v="821"/>
    <x v="1"/>
    <x v="8"/>
    <x v="0"/>
    <n v="3"/>
    <n v="50"/>
    <x v="0"/>
  </r>
  <r>
    <n v="823"/>
    <x v="304"/>
    <x v="822"/>
    <x v="1"/>
    <x v="37"/>
    <x v="2"/>
    <n v="2"/>
    <n v="50"/>
    <x v="4"/>
  </r>
  <r>
    <n v="824"/>
    <x v="179"/>
    <x v="823"/>
    <x v="0"/>
    <x v="7"/>
    <x v="1"/>
    <n v="4"/>
    <n v="30"/>
    <x v="10"/>
  </r>
  <r>
    <n v="825"/>
    <x v="300"/>
    <x v="824"/>
    <x v="1"/>
    <x v="6"/>
    <x v="0"/>
    <n v="1"/>
    <n v="25"/>
    <x v="16"/>
  </r>
  <r>
    <n v="826"/>
    <x v="218"/>
    <x v="825"/>
    <x v="1"/>
    <x v="6"/>
    <x v="1"/>
    <n v="1"/>
    <n v="300"/>
    <x v="13"/>
  </r>
  <r>
    <n v="827"/>
    <x v="289"/>
    <x v="826"/>
    <x v="0"/>
    <x v="39"/>
    <x v="0"/>
    <n v="3"/>
    <n v="300"/>
    <x v="12"/>
  </r>
  <r>
    <n v="828"/>
    <x v="174"/>
    <x v="827"/>
    <x v="1"/>
    <x v="44"/>
    <x v="2"/>
    <n v="4"/>
    <n v="300"/>
    <x v="14"/>
  </r>
  <r>
    <n v="829"/>
    <x v="37"/>
    <x v="828"/>
    <x v="0"/>
    <x v="39"/>
    <x v="0"/>
    <n v="3"/>
    <n v="30"/>
    <x v="15"/>
  </r>
  <r>
    <n v="830"/>
    <x v="36"/>
    <x v="829"/>
    <x v="1"/>
    <x v="12"/>
    <x v="1"/>
    <n v="3"/>
    <n v="50"/>
    <x v="0"/>
  </r>
  <r>
    <n v="831"/>
    <x v="267"/>
    <x v="830"/>
    <x v="0"/>
    <x v="15"/>
    <x v="2"/>
    <n v="4"/>
    <n v="25"/>
    <x v="4"/>
  </r>
  <r>
    <n v="832"/>
    <x v="296"/>
    <x v="831"/>
    <x v="0"/>
    <x v="16"/>
    <x v="0"/>
    <n v="4"/>
    <n v="500"/>
    <x v="11"/>
  </r>
  <r>
    <n v="833"/>
    <x v="83"/>
    <x v="832"/>
    <x v="0"/>
    <x v="13"/>
    <x v="0"/>
    <n v="4"/>
    <n v="50"/>
    <x v="7"/>
  </r>
  <r>
    <n v="834"/>
    <x v="194"/>
    <x v="833"/>
    <x v="1"/>
    <x v="37"/>
    <x v="0"/>
    <n v="2"/>
    <n v="30"/>
    <x v="17"/>
  </r>
  <r>
    <n v="835"/>
    <x v="206"/>
    <x v="834"/>
    <x v="0"/>
    <x v="3"/>
    <x v="1"/>
    <n v="4"/>
    <n v="50"/>
    <x v="7"/>
  </r>
  <r>
    <n v="836"/>
    <x v="90"/>
    <x v="835"/>
    <x v="1"/>
    <x v="11"/>
    <x v="1"/>
    <n v="1"/>
    <n v="50"/>
    <x v="5"/>
  </r>
  <r>
    <n v="837"/>
    <x v="68"/>
    <x v="836"/>
    <x v="0"/>
    <x v="18"/>
    <x v="0"/>
    <n v="3"/>
    <n v="30"/>
    <x v="15"/>
  </r>
  <r>
    <n v="838"/>
    <x v="305"/>
    <x v="837"/>
    <x v="0"/>
    <x v="16"/>
    <x v="2"/>
    <n v="2"/>
    <n v="300"/>
    <x v="6"/>
  </r>
  <r>
    <n v="839"/>
    <x v="33"/>
    <x v="838"/>
    <x v="1"/>
    <x v="29"/>
    <x v="2"/>
    <n v="4"/>
    <n v="300"/>
    <x v="14"/>
  </r>
  <r>
    <n v="840"/>
    <x v="329"/>
    <x v="839"/>
    <x v="0"/>
    <x v="17"/>
    <x v="1"/>
    <n v="2"/>
    <n v="25"/>
    <x v="5"/>
  </r>
  <r>
    <n v="841"/>
    <x v="113"/>
    <x v="840"/>
    <x v="0"/>
    <x v="33"/>
    <x v="2"/>
    <n v="4"/>
    <n v="25"/>
    <x v="4"/>
  </r>
  <r>
    <n v="842"/>
    <x v="24"/>
    <x v="841"/>
    <x v="1"/>
    <x v="16"/>
    <x v="1"/>
    <n v="2"/>
    <n v="300"/>
    <x v="6"/>
  </r>
  <r>
    <n v="843"/>
    <x v="247"/>
    <x v="842"/>
    <x v="0"/>
    <x v="34"/>
    <x v="0"/>
    <n v="3"/>
    <n v="500"/>
    <x v="9"/>
  </r>
  <r>
    <n v="844"/>
    <x v="205"/>
    <x v="843"/>
    <x v="0"/>
    <x v="10"/>
    <x v="1"/>
    <n v="3"/>
    <n v="50"/>
    <x v="0"/>
  </r>
  <r>
    <n v="845"/>
    <x v="121"/>
    <x v="844"/>
    <x v="0"/>
    <x v="31"/>
    <x v="1"/>
    <n v="1"/>
    <n v="500"/>
    <x v="3"/>
  </r>
  <r>
    <n v="846"/>
    <x v="161"/>
    <x v="845"/>
    <x v="0"/>
    <x v="13"/>
    <x v="0"/>
    <n v="1"/>
    <n v="50"/>
    <x v="5"/>
  </r>
  <r>
    <n v="847"/>
    <x v="181"/>
    <x v="846"/>
    <x v="1"/>
    <x v="18"/>
    <x v="2"/>
    <n v="4"/>
    <n v="300"/>
    <x v="14"/>
  </r>
  <r>
    <n v="848"/>
    <x v="146"/>
    <x v="847"/>
    <x v="1"/>
    <x v="7"/>
    <x v="1"/>
    <n v="3"/>
    <n v="25"/>
    <x v="8"/>
  </r>
  <r>
    <n v="849"/>
    <x v="145"/>
    <x v="848"/>
    <x v="0"/>
    <x v="40"/>
    <x v="1"/>
    <n v="2"/>
    <n v="25"/>
    <x v="5"/>
  </r>
  <r>
    <n v="850"/>
    <x v="180"/>
    <x v="849"/>
    <x v="1"/>
    <x v="1"/>
    <x v="0"/>
    <n v="2"/>
    <n v="500"/>
    <x v="1"/>
  </r>
  <r>
    <n v="851"/>
    <x v="140"/>
    <x v="850"/>
    <x v="0"/>
    <x v="40"/>
    <x v="2"/>
    <n v="2"/>
    <n v="25"/>
    <x v="5"/>
  </r>
  <r>
    <n v="852"/>
    <x v="205"/>
    <x v="851"/>
    <x v="1"/>
    <x v="41"/>
    <x v="1"/>
    <n v="1"/>
    <n v="300"/>
    <x v="13"/>
  </r>
  <r>
    <n v="853"/>
    <x v="145"/>
    <x v="852"/>
    <x v="0"/>
    <x v="34"/>
    <x v="0"/>
    <n v="2"/>
    <n v="500"/>
    <x v="1"/>
  </r>
  <r>
    <n v="854"/>
    <x v="156"/>
    <x v="853"/>
    <x v="0"/>
    <x v="38"/>
    <x v="1"/>
    <n v="1"/>
    <n v="50"/>
    <x v="5"/>
  </r>
  <r>
    <n v="855"/>
    <x v="152"/>
    <x v="854"/>
    <x v="0"/>
    <x v="31"/>
    <x v="0"/>
    <n v="1"/>
    <n v="25"/>
    <x v="16"/>
  </r>
  <r>
    <n v="856"/>
    <x v="188"/>
    <x v="855"/>
    <x v="0"/>
    <x v="31"/>
    <x v="2"/>
    <n v="4"/>
    <n v="30"/>
    <x v="10"/>
  </r>
  <r>
    <n v="857"/>
    <x v="330"/>
    <x v="856"/>
    <x v="0"/>
    <x v="43"/>
    <x v="2"/>
    <n v="2"/>
    <n v="25"/>
    <x v="5"/>
  </r>
  <r>
    <n v="858"/>
    <x v="331"/>
    <x v="857"/>
    <x v="0"/>
    <x v="9"/>
    <x v="2"/>
    <n v="2"/>
    <n v="50"/>
    <x v="4"/>
  </r>
  <r>
    <n v="859"/>
    <x v="27"/>
    <x v="858"/>
    <x v="1"/>
    <x v="37"/>
    <x v="2"/>
    <n v="3"/>
    <n v="500"/>
    <x v="9"/>
  </r>
  <r>
    <n v="860"/>
    <x v="332"/>
    <x v="859"/>
    <x v="0"/>
    <x v="7"/>
    <x v="1"/>
    <n v="4"/>
    <n v="50"/>
    <x v="7"/>
  </r>
  <r>
    <n v="861"/>
    <x v="15"/>
    <x v="860"/>
    <x v="1"/>
    <x v="41"/>
    <x v="1"/>
    <n v="3"/>
    <n v="30"/>
    <x v="15"/>
  </r>
  <r>
    <n v="862"/>
    <x v="50"/>
    <x v="861"/>
    <x v="0"/>
    <x v="20"/>
    <x v="2"/>
    <n v="4"/>
    <n v="300"/>
    <x v="14"/>
  </r>
  <r>
    <n v="863"/>
    <x v="262"/>
    <x v="862"/>
    <x v="1"/>
    <x v="4"/>
    <x v="2"/>
    <n v="2"/>
    <n v="25"/>
    <x v="5"/>
  </r>
  <r>
    <n v="864"/>
    <x v="282"/>
    <x v="863"/>
    <x v="1"/>
    <x v="25"/>
    <x v="2"/>
    <n v="1"/>
    <n v="500"/>
    <x v="3"/>
  </r>
  <r>
    <n v="865"/>
    <x v="333"/>
    <x v="864"/>
    <x v="1"/>
    <x v="13"/>
    <x v="1"/>
    <n v="1"/>
    <n v="300"/>
    <x v="13"/>
  </r>
  <r>
    <n v="866"/>
    <x v="179"/>
    <x v="865"/>
    <x v="0"/>
    <x v="46"/>
    <x v="2"/>
    <n v="1"/>
    <n v="50"/>
    <x v="5"/>
  </r>
  <r>
    <n v="867"/>
    <x v="264"/>
    <x v="866"/>
    <x v="0"/>
    <x v="34"/>
    <x v="2"/>
    <n v="1"/>
    <n v="500"/>
    <x v="3"/>
  </r>
  <r>
    <n v="868"/>
    <x v="237"/>
    <x v="867"/>
    <x v="1"/>
    <x v="36"/>
    <x v="2"/>
    <n v="1"/>
    <n v="300"/>
    <x v="13"/>
  </r>
  <r>
    <n v="869"/>
    <x v="268"/>
    <x v="868"/>
    <x v="0"/>
    <x v="3"/>
    <x v="0"/>
    <n v="3"/>
    <n v="500"/>
    <x v="9"/>
  </r>
  <r>
    <n v="870"/>
    <x v="321"/>
    <x v="869"/>
    <x v="1"/>
    <x v="6"/>
    <x v="2"/>
    <n v="4"/>
    <n v="30"/>
    <x v="10"/>
  </r>
  <r>
    <n v="871"/>
    <x v="178"/>
    <x v="870"/>
    <x v="0"/>
    <x v="17"/>
    <x v="0"/>
    <n v="2"/>
    <n v="30"/>
    <x v="17"/>
  </r>
  <r>
    <n v="872"/>
    <x v="120"/>
    <x v="871"/>
    <x v="1"/>
    <x v="7"/>
    <x v="0"/>
    <n v="3"/>
    <n v="25"/>
    <x v="8"/>
  </r>
  <r>
    <n v="873"/>
    <x v="136"/>
    <x v="872"/>
    <x v="1"/>
    <x v="15"/>
    <x v="2"/>
    <n v="4"/>
    <n v="25"/>
    <x v="4"/>
  </r>
  <r>
    <n v="874"/>
    <x v="40"/>
    <x v="873"/>
    <x v="0"/>
    <x v="43"/>
    <x v="0"/>
    <n v="1"/>
    <n v="30"/>
    <x v="2"/>
  </r>
  <r>
    <n v="875"/>
    <x v="298"/>
    <x v="874"/>
    <x v="1"/>
    <x v="25"/>
    <x v="2"/>
    <n v="4"/>
    <n v="500"/>
    <x v="11"/>
  </r>
  <r>
    <n v="876"/>
    <x v="153"/>
    <x v="875"/>
    <x v="0"/>
    <x v="22"/>
    <x v="1"/>
    <n v="4"/>
    <n v="30"/>
    <x v="10"/>
  </r>
  <r>
    <n v="877"/>
    <x v="171"/>
    <x v="876"/>
    <x v="1"/>
    <x v="26"/>
    <x v="1"/>
    <n v="1"/>
    <n v="25"/>
    <x v="16"/>
  </r>
  <r>
    <n v="878"/>
    <x v="313"/>
    <x v="877"/>
    <x v="1"/>
    <x v="29"/>
    <x v="1"/>
    <n v="1"/>
    <n v="30"/>
    <x v="2"/>
  </r>
  <r>
    <n v="879"/>
    <x v="24"/>
    <x v="878"/>
    <x v="0"/>
    <x v="9"/>
    <x v="1"/>
    <n v="1"/>
    <n v="30"/>
    <x v="2"/>
  </r>
  <r>
    <n v="880"/>
    <x v="63"/>
    <x v="879"/>
    <x v="0"/>
    <x v="11"/>
    <x v="0"/>
    <n v="2"/>
    <n v="500"/>
    <x v="1"/>
  </r>
  <r>
    <n v="881"/>
    <x v="79"/>
    <x v="880"/>
    <x v="0"/>
    <x v="11"/>
    <x v="2"/>
    <n v="1"/>
    <n v="300"/>
    <x v="13"/>
  </r>
  <r>
    <n v="882"/>
    <x v="264"/>
    <x v="881"/>
    <x v="1"/>
    <x v="12"/>
    <x v="2"/>
    <n v="2"/>
    <n v="25"/>
    <x v="5"/>
  </r>
  <r>
    <n v="883"/>
    <x v="119"/>
    <x v="882"/>
    <x v="0"/>
    <x v="30"/>
    <x v="2"/>
    <n v="1"/>
    <n v="500"/>
    <x v="3"/>
  </r>
  <r>
    <n v="884"/>
    <x v="310"/>
    <x v="883"/>
    <x v="1"/>
    <x v="1"/>
    <x v="1"/>
    <n v="2"/>
    <n v="30"/>
    <x v="17"/>
  </r>
  <r>
    <n v="885"/>
    <x v="163"/>
    <x v="884"/>
    <x v="1"/>
    <x v="8"/>
    <x v="1"/>
    <n v="4"/>
    <n v="30"/>
    <x v="10"/>
  </r>
  <r>
    <n v="886"/>
    <x v="55"/>
    <x v="885"/>
    <x v="0"/>
    <x v="3"/>
    <x v="2"/>
    <n v="3"/>
    <n v="300"/>
    <x v="12"/>
  </r>
  <r>
    <n v="887"/>
    <x v="86"/>
    <x v="886"/>
    <x v="0"/>
    <x v="42"/>
    <x v="1"/>
    <n v="4"/>
    <n v="25"/>
    <x v="4"/>
  </r>
  <r>
    <n v="888"/>
    <x v="163"/>
    <x v="887"/>
    <x v="1"/>
    <x v="8"/>
    <x v="2"/>
    <n v="4"/>
    <n v="25"/>
    <x v="4"/>
  </r>
  <r>
    <n v="889"/>
    <x v="45"/>
    <x v="888"/>
    <x v="1"/>
    <x v="10"/>
    <x v="2"/>
    <n v="1"/>
    <n v="50"/>
    <x v="5"/>
  </r>
  <r>
    <n v="890"/>
    <x v="156"/>
    <x v="889"/>
    <x v="0"/>
    <x v="0"/>
    <x v="2"/>
    <n v="2"/>
    <n v="25"/>
    <x v="5"/>
  </r>
  <r>
    <n v="891"/>
    <x v="334"/>
    <x v="890"/>
    <x v="0"/>
    <x v="41"/>
    <x v="2"/>
    <n v="3"/>
    <n v="300"/>
    <x v="12"/>
  </r>
  <r>
    <n v="892"/>
    <x v="55"/>
    <x v="891"/>
    <x v="0"/>
    <x v="29"/>
    <x v="2"/>
    <n v="1"/>
    <n v="50"/>
    <x v="5"/>
  </r>
  <r>
    <n v="893"/>
    <x v="35"/>
    <x v="892"/>
    <x v="0"/>
    <x v="19"/>
    <x v="2"/>
    <n v="1"/>
    <n v="50"/>
    <x v="5"/>
  </r>
  <r>
    <n v="894"/>
    <x v="328"/>
    <x v="893"/>
    <x v="0"/>
    <x v="8"/>
    <x v="2"/>
    <n v="1"/>
    <n v="30"/>
    <x v="2"/>
  </r>
  <r>
    <n v="895"/>
    <x v="247"/>
    <x v="894"/>
    <x v="1"/>
    <x v="28"/>
    <x v="1"/>
    <n v="4"/>
    <n v="30"/>
    <x v="10"/>
  </r>
  <r>
    <n v="896"/>
    <x v="28"/>
    <x v="895"/>
    <x v="1"/>
    <x v="4"/>
    <x v="2"/>
    <n v="2"/>
    <n v="25"/>
    <x v="5"/>
  </r>
  <r>
    <n v="897"/>
    <x v="335"/>
    <x v="896"/>
    <x v="1"/>
    <x v="12"/>
    <x v="2"/>
    <n v="2"/>
    <n v="50"/>
    <x v="4"/>
  </r>
  <r>
    <n v="898"/>
    <x v="113"/>
    <x v="897"/>
    <x v="1"/>
    <x v="13"/>
    <x v="1"/>
    <n v="3"/>
    <n v="30"/>
    <x v="15"/>
  </r>
  <r>
    <n v="899"/>
    <x v="242"/>
    <x v="898"/>
    <x v="0"/>
    <x v="1"/>
    <x v="1"/>
    <n v="2"/>
    <n v="300"/>
    <x v="6"/>
  </r>
  <r>
    <n v="900"/>
    <x v="62"/>
    <x v="899"/>
    <x v="0"/>
    <x v="34"/>
    <x v="1"/>
    <n v="2"/>
    <n v="30"/>
    <x v="17"/>
  </r>
  <r>
    <n v="901"/>
    <x v="294"/>
    <x v="900"/>
    <x v="0"/>
    <x v="33"/>
    <x v="2"/>
    <n v="1"/>
    <n v="30"/>
    <x v="2"/>
  </r>
  <r>
    <n v="902"/>
    <x v="207"/>
    <x v="901"/>
    <x v="1"/>
    <x v="31"/>
    <x v="0"/>
    <n v="1"/>
    <n v="50"/>
    <x v="5"/>
  </r>
  <r>
    <n v="903"/>
    <x v="60"/>
    <x v="902"/>
    <x v="1"/>
    <x v="25"/>
    <x v="0"/>
    <n v="4"/>
    <n v="50"/>
    <x v="7"/>
  </r>
  <r>
    <n v="904"/>
    <x v="336"/>
    <x v="903"/>
    <x v="0"/>
    <x v="20"/>
    <x v="1"/>
    <n v="1"/>
    <n v="500"/>
    <x v="3"/>
  </r>
  <r>
    <n v="905"/>
    <x v="128"/>
    <x v="904"/>
    <x v="0"/>
    <x v="26"/>
    <x v="0"/>
    <n v="1"/>
    <n v="300"/>
    <x v="13"/>
  </r>
  <r>
    <n v="906"/>
    <x v="234"/>
    <x v="905"/>
    <x v="1"/>
    <x v="29"/>
    <x v="1"/>
    <n v="1"/>
    <n v="50"/>
    <x v="5"/>
  </r>
  <r>
    <n v="907"/>
    <x v="199"/>
    <x v="906"/>
    <x v="1"/>
    <x v="5"/>
    <x v="2"/>
    <n v="1"/>
    <n v="25"/>
    <x v="16"/>
  </r>
  <r>
    <n v="908"/>
    <x v="167"/>
    <x v="907"/>
    <x v="0"/>
    <x v="6"/>
    <x v="0"/>
    <n v="4"/>
    <n v="300"/>
    <x v="14"/>
  </r>
  <r>
    <n v="909"/>
    <x v="77"/>
    <x v="908"/>
    <x v="0"/>
    <x v="1"/>
    <x v="2"/>
    <n v="1"/>
    <n v="300"/>
    <x v="13"/>
  </r>
  <r>
    <n v="910"/>
    <x v="149"/>
    <x v="909"/>
    <x v="1"/>
    <x v="29"/>
    <x v="0"/>
    <n v="3"/>
    <n v="50"/>
    <x v="0"/>
  </r>
  <r>
    <n v="911"/>
    <x v="3"/>
    <x v="910"/>
    <x v="0"/>
    <x v="13"/>
    <x v="2"/>
    <n v="3"/>
    <n v="300"/>
    <x v="12"/>
  </r>
  <r>
    <n v="912"/>
    <x v="58"/>
    <x v="911"/>
    <x v="0"/>
    <x v="25"/>
    <x v="0"/>
    <n v="3"/>
    <n v="50"/>
    <x v="0"/>
  </r>
  <r>
    <n v="913"/>
    <x v="185"/>
    <x v="912"/>
    <x v="0"/>
    <x v="38"/>
    <x v="2"/>
    <n v="3"/>
    <n v="30"/>
    <x v="15"/>
  </r>
  <r>
    <n v="914"/>
    <x v="120"/>
    <x v="913"/>
    <x v="1"/>
    <x v="42"/>
    <x v="2"/>
    <n v="1"/>
    <n v="500"/>
    <x v="3"/>
  </r>
  <r>
    <n v="915"/>
    <x v="337"/>
    <x v="914"/>
    <x v="1"/>
    <x v="1"/>
    <x v="0"/>
    <n v="3"/>
    <n v="30"/>
    <x v="15"/>
  </r>
  <r>
    <n v="916"/>
    <x v="32"/>
    <x v="915"/>
    <x v="1"/>
    <x v="40"/>
    <x v="2"/>
    <n v="1"/>
    <n v="50"/>
    <x v="5"/>
  </r>
  <r>
    <n v="917"/>
    <x v="149"/>
    <x v="916"/>
    <x v="1"/>
    <x v="35"/>
    <x v="2"/>
    <n v="4"/>
    <n v="50"/>
    <x v="7"/>
  </r>
  <r>
    <n v="918"/>
    <x v="250"/>
    <x v="917"/>
    <x v="1"/>
    <x v="13"/>
    <x v="2"/>
    <n v="3"/>
    <n v="30"/>
    <x v="15"/>
  </r>
  <r>
    <n v="919"/>
    <x v="331"/>
    <x v="918"/>
    <x v="1"/>
    <x v="11"/>
    <x v="0"/>
    <n v="2"/>
    <n v="25"/>
    <x v="5"/>
  </r>
  <r>
    <n v="920"/>
    <x v="7"/>
    <x v="919"/>
    <x v="1"/>
    <x v="20"/>
    <x v="0"/>
    <n v="3"/>
    <n v="25"/>
    <x v="8"/>
  </r>
  <r>
    <n v="921"/>
    <x v="326"/>
    <x v="920"/>
    <x v="0"/>
    <x v="25"/>
    <x v="2"/>
    <n v="3"/>
    <n v="25"/>
    <x v="8"/>
  </r>
  <r>
    <n v="922"/>
    <x v="338"/>
    <x v="921"/>
    <x v="0"/>
    <x v="41"/>
    <x v="2"/>
    <n v="1"/>
    <n v="50"/>
    <x v="5"/>
  </r>
  <r>
    <n v="923"/>
    <x v="232"/>
    <x v="922"/>
    <x v="0"/>
    <x v="40"/>
    <x v="0"/>
    <n v="3"/>
    <n v="300"/>
    <x v="12"/>
  </r>
  <r>
    <n v="924"/>
    <x v="261"/>
    <x v="923"/>
    <x v="0"/>
    <x v="28"/>
    <x v="0"/>
    <n v="2"/>
    <n v="50"/>
    <x v="4"/>
  </r>
  <r>
    <n v="925"/>
    <x v="339"/>
    <x v="924"/>
    <x v="0"/>
    <x v="36"/>
    <x v="2"/>
    <n v="1"/>
    <n v="300"/>
    <x v="13"/>
  </r>
  <r>
    <n v="926"/>
    <x v="306"/>
    <x v="925"/>
    <x v="0"/>
    <x v="11"/>
    <x v="2"/>
    <n v="1"/>
    <n v="30"/>
    <x v="2"/>
  </r>
  <r>
    <n v="927"/>
    <x v="33"/>
    <x v="926"/>
    <x v="0"/>
    <x v="22"/>
    <x v="2"/>
    <n v="4"/>
    <n v="500"/>
    <x v="11"/>
  </r>
  <r>
    <n v="928"/>
    <x v="334"/>
    <x v="927"/>
    <x v="1"/>
    <x v="10"/>
    <x v="1"/>
    <n v="4"/>
    <n v="300"/>
    <x v="14"/>
  </r>
  <r>
    <n v="929"/>
    <x v="246"/>
    <x v="928"/>
    <x v="1"/>
    <x v="9"/>
    <x v="0"/>
    <n v="3"/>
    <n v="25"/>
    <x v="8"/>
  </r>
  <r>
    <n v="930"/>
    <x v="318"/>
    <x v="929"/>
    <x v="0"/>
    <x v="31"/>
    <x v="1"/>
    <n v="4"/>
    <n v="50"/>
    <x v="7"/>
  </r>
  <r>
    <n v="931"/>
    <x v="211"/>
    <x v="930"/>
    <x v="0"/>
    <x v="4"/>
    <x v="0"/>
    <n v="4"/>
    <n v="30"/>
    <x v="10"/>
  </r>
  <r>
    <n v="932"/>
    <x v="122"/>
    <x v="931"/>
    <x v="1"/>
    <x v="5"/>
    <x v="0"/>
    <n v="4"/>
    <n v="25"/>
    <x v="4"/>
  </r>
  <r>
    <n v="933"/>
    <x v="89"/>
    <x v="932"/>
    <x v="0"/>
    <x v="11"/>
    <x v="0"/>
    <n v="1"/>
    <n v="30"/>
    <x v="2"/>
  </r>
  <r>
    <n v="934"/>
    <x v="87"/>
    <x v="933"/>
    <x v="0"/>
    <x v="4"/>
    <x v="0"/>
    <n v="1"/>
    <n v="500"/>
    <x v="3"/>
  </r>
  <r>
    <n v="935"/>
    <x v="331"/>
    <x v="934"/>
    <x v="1"/>
    <x v="0"/>
    <x v="0"/>
    <n v="1"/>
    <n v="50"/>
    <x v="5"/>
  </r>
  <r>
    <n v="936"/>
    <x v="227"/>
    <x v="935"/>
    <x v="0"/>
    <x v="35"/>
    <x v="0"/>
    <n v="4"/>
    <n v="50"/>
    <x v="7"/>
  </r>
  <r>
    <n v="937"/>
    <x v="54"/>
    <x v="936"/>
    <x v="1"/>
    <x v="17"/>
    <x v="0"/>
    <n v="1"/>
    <n v="500"/>
    <x v="3"/>
  </r>
  <r>
    <n v="938"/>
    <x v="292"/>
    <x v="937"/>
    <x v="0"/>
    <x v="19"/>
    <x v="1"/>
    <n v="4"/>
    <n v="50"/>
    <x v="7"/>
  </r>
  <r>
    <n v="939"/>
    <x v="244"/>
    <x v="938"/>
    <x v="1"/>
    <x v="6"/>
    <x v="2"/>
    <n v="1"/>
    <n v="300"/>
    <x v="13"/>
  </r>
  <r>
    <n v="940"/>
    <x v="185"/>
    <x v="939"/>
    <x v="1"/>
    <x v="29"/>
    <x v="2"/>
    <n v="1"/>
    <n v="30"/>
    <x v="2"/>
  </r>
  <r>
    <n v="941"/>
    <x v="309"/>
    <x v="940"/>
    <x v="1"/>
    <x v="35"/>
    <x v="1"/>
    <n v="2"/>
    <n v="25"/>
    <x v="5"/>
  </r>
  <r>
    <n v="942"/>
    <x v="253"/>
    <x v="941"/>
    <x v="0"/>
    <x v="25"/>
    <x v="1"/>
    <n v="3"/>
    <n v="500"/>
    <x v="9"/>
  </r>
  <r>
    <n v="943"/>
    <x v="230"/>
    <x v="942"/>
    <x v="1"/>
    <x v="35"/>
    <x v="1"/>
    <n v="4"/>
    <n v="300"/>
    <x v="14"/>
  </r>
  <r>
    <n v="944"/>
    <x v="284"/>
    <x v="943"/>
    <x v="0"/>
    <x v="24"/>
    <x v="1"/>
    <n v="2"/>
    <n v="25"/>
    <x v="5"/>
  </r>
  <r>
    <n v="945"/>
    <x v="146"/>
    <x v="944"/>
    <x v="0"/>
    <x v="4"/>
    <x v="0"/>
    <n v="1"/>
    <n v="25"/>
    <x v="16"/>
  </r>
  <r>
    <n v="946"/>
    <x v="193"/>
    <x v="945"/>
    <x v="0"/>
    <x v="17"/>
    <x v="2"/>
    <n v="4"/>
    <n v="500"/>
    <x v="11"/>
  </r>
  <r>
    <n v="947"/>
    <x v="340"/>
    <x v="946"/>
    <x v="0"/>
    <x v="2"/>
    <x v="0"/>
    <n v="1"/>
    <n v="300"/>
    <x v="13"/>
  </r>
  <r>
    <n v="948"/>
    <x v="81"/>
    <x v="947"/>
    <x v="1"/>
    <x v="9"/>
    <x v="2"/>
    <n v="3"/>
    <n v="25"/>
    <x v="8"/>
  </r>
  <r>
    <n v="949"/>
    <x v="341"/>
    <x v="948"/>
    <x v="1"/>
    <x v="41"/>
    <x v="2"/>
    <n v="2"/>
    <n v="25"/>
    <x v="5"/>
  </r>
  <r>
    <n v="950"/>
    <x v="155"/>
    <x v="949"/>
    <x v="0"/>
    <x v="32"/>
    <x v="1"/>
    <n v="3"/>
    <n v="300"/>
    <x v="12"/>
  </r>
  <r>
    <n v="951"/>
    <x v="113"/>
    <x v="950"/>
    <x v="0"/>
    <x v="44"/>
    <x v="0"/>
    <n v="2"/>
    <n v="50"/>
    <x v="4"/>
  </r>
  <r>
    <n v="952"/>
    <x v="52"/>
    <x v="951"/>
    <x v="1"/>
    <x v="35"/>
    <x v="1"/>
    <n v="1"/>
    <n v="25"/>
    <x v="16"/>
  </r>
  <r>
    <n v="953"/>
    <x v="164"/>
    <x v="952"/>
    <x v="0"/>
    <x v="5"/>
    <x v="0"/>
    <n v="3"/>
    <n v="30"/>
    <x v="15"/>
  </r>
  <r>
    <n v="954"/>
    <x v="223"/>
    <x v="953"/>
    <x v="1"/>
    <x v="2"/>
    <x v="2"/>
    <n v="3"/>
    <n v="300"/>
    <x v="12"/>
  </r>
  <r>
    <n v="955"/>
    <x v="37"/>
    <x v="954"/>
    <x v="0"/>
    <x v="26"/>
    <x v="1"/>
    <n v="1"/>
    <n v="25"/>
    <x v="16"/>
  </r>
  <r>
    <n v="956"/>
    <x v="304"/>
    <x v="955"/>
    <x v="0"/>
    <x v="4"/>
    <x v="1"/>
    <n v="3"/>
    <n v="500"/>
    <x v="9"/>
  </r>
  <r>
    <n v="957"/>
    <x v="196"/>
    <x v="956"/>
    <x v="1"/>
    <x v="43"/>
    <x v="2"/>
    <n v="4"/>
    <n v="30"/>
    <x v="10"/>
  </r>
  <r>
    <n v="958"/>
    <x v="132"/>
    <x v="957"/>
    <x v="0"/>
    <x v="17"/>
    <x v="2"/>
    <n v="2"/>
    <n v="25"/>
    <x v="5"/>
  </r>
  <r>
    <n v="959"/>
    <x v="28"/>
    <x v="958"/>
    <x v="1"/>
    <x v="13"/>
    <x v="2"/>
    <n v="2"/>
    <n v="30"/>
    <x v="17"/>
  </r>
  <r>
    <n v="960"/>
    <x v="102"/>
    <x v="959"/>
    <x v="0"/>
    <x v="42"/>
    <x v="1"/>
    <n v="2"/>
    <n v="30"/>
    <x v="17"/>
  </r>
  <r>
    <n v="961"/>
    <x v="264"/>
    <x v="960"/>
    <x v="0"/>
    <x v="45"/>
    <x v="0"/>
    <n v="4"/>
    <n v="50"/>
    <x v="7"/>
  </r>
  <r>
    <n v="962"/>
    <x v="218"/>
    <x v="961"/>
    <x v="0"/>
    <x v="24"/>
    <x v="1"/>
    <n v="2"/>
    <n v="30"/>
    <x v="17"/>
  </r>
  <r>
    <n v="963"/>
    <x v="220"/>
    <x v="962"/>
    <x v="1"/>
    <x v="28"/>
    <x v="0"/>
    <n v="1"/>
    <n v="50"/>
    <x v="5"/>
  </r>
  <r>
    <n v="964"/>
    <x v="169"/>
    <x v="963"/>
    <x v="0"/>
    <x v="46"/>
    <x v="1"/>
    <n v="3"/>
    <n v="300"/>
    <x v="12"/>
  </r>
  <r>
    <n v="965"/>
    <x v="289"/>
    <x v="964"/>
    <x v="0"/>
    <x v="11"/>
    <x v="1"/>
    <n v="4"/>
    <n v="50"/>
    <x v="7"/>
  </r>
  <r>
    <n v="966"/>
    <x v="189"/>
    <x v="965"/>
    <x v="0"/>
    <x v="43"/>
    <x v="2"/>
    <n v="2"/>
    <n v="500"/>
    <x v="1"/>
  </r>
  <r>
    <n v="967"/>
    <x v="342"/>
    <x v="966"/>
    <x v="0"/>
    <x v="17"/>
    <x v="0"/>
    <n v="1"/>
    <n v="25"/>
    <x v="16"/>
  </r>
  <r>
    <n v="968"/>
    <x v="131"/>
    <x v="967"/>
    <x v="1"/>
    <x v="27"/>
    <x v="1"/>
    <n v="3"/>
    <n v="300"/>
    <x v="12"/>
  </r>
  <r>
    <n v="969"/>
    <x v="90"/>
    <x v="968"/>
    <x v="1"/>
    <x v="30"/>
    <x v="1"/>
    <n v="3"/>
    <n v="300"/>
    <x v="12"/>
  </r>
  <r>
    <n v="970"/>
    <x v="42"/>
    <x v="969"/>
    <x v="0"/>
    <x v="42"/>
    <x v="2"/>
    <n v="4"/>
    <n v="500"/>
    <x v="11"/>
  </r>
  <r>
    <n v="971"/>
    <x v="59"/>
    <x v="970"/>
    <x v="1"/>
    <x v="15"/>
    <x v="2"/>
    <n v="4"/>
    <n v="50"/>
    <x v="7"/>
  </r>
  <r>
    <n v="972"/>
    <x v="213"/>
    <x v="971"/>
    <x v="0"/>
    <x v="19"/>
    <x v="0"/>
    <n v="4"/>
    <n v="25"/>
    <x v="4"/>
  </r>
  <r>
    <n v="973"/>
    <x v="125"/>
    <x v="972"/>
    <x v="0"/>
    <x v="43"/>
    <x v="1"/>
    <n v="1"/>
    <n v="50"/>
    <x v="5"/>
  </r>
  <r>
    <n v="974"/>
    <x v="143"/>
    <x v="973"/>
    <x v="0"/>
    <x v="16"/>
    <x v="0"/>
    <n v="1"/>
    <n v="30"/>
    <x v="2"/>
  </r>
  <r>
    <n v="975"/>
    <x v="343"/>
    <x v="974"/>
    <x v="1"/>
    <x v="37"/>
    <x v="1"/>
    <n v="4"/>
    <n v="50"/>
    <x v="7"/>
  </r>
  <r>
    <n v="976"/>
    <x v="49"/>
    <x v="975"/>
    <x v="1"/>
    <x v="27"/>
    <x v="0"/>
    <n v="2"/>
    <n v="300"/>
    <x v="6"/>
  </r>
  <r>
    <n v="977"/>
    <x v="195"/>
    <x v="976"/>
    <x v="1"/>
    <x v="10"/>
    <x v="2"/>
    <n v="3"/>
    <n v="25"/>
    <x v="8"/>
  </r>
  <r>
    <n v="978"/>
    <x v="125"/>
    <x v="977"/>
    <x v="1"/>
    <x v="45"/>
    <x v="1"/>
    <n v="3"/>
    <n v="50"/>
    <x v="0"/>
  </r>
  <r>
    <n v="979"/>
    <x v="126"/>
    <x v="978"/>
    <x v="1"/>
    <x v="14"/>
    <x v="0"/>
    <n v="1"/>
    <n v="25"/>
    <x v="16"/>
  </r>
  <r>
    <n v="980"/>
    <x v="277"/>
    <x v="979"/>
    <x v="1"/>
    <x v="33"/>
    <x v="2"/>
    <n v="3"/>
    <n v="25"/>
    <x v="8"/>
  </r>
  <r>
    <n v="981"/>
    <x v="304"/>
    <x v="980"/>
    <x v="1"/>
    <x v="4"/>
    <x v="2"/>
    <n v="2"/>
    <n v="30"/>
    <x v="17"/>
  </r>
  <r>
    <n v="982"/>
    <x v="80"/>
    <x v="981"/>
    <x v="1"/>
    <x v="6"/>
    <x v="0"/>
    <n v="3"/>
    <n v="30"/>
    <x v="15"/>
  </r>
  <r>
    <n v="983"/>
    <x v="215"/>
    <x v="982"/>
    <x v="1"/>
    <x v="38"/>
    <x v="1"/>
    <n v="1"/>
    <n v="300"/>
    <x v="13"/>
  </r>
  <r>
    <n v="984"/>
    <x v="261"/>
    <x v="983"/>
    <x v="0"/>
    <x v="37"/>
    <x v="1"/>
    <n v="1"/>
    <n v="500"/>
    <x v="3"/>
  </r>
  <r>
    <n v="985"/>
    <x v="337"/>
    <x v="984"/>
    <x v="1"/>
    <x v="14"/>
    <x v="2"/>
    <n v="2"/>
    <n v="25"/>
    <x v="5"/>
  </r>
  <r>
    <n v="986"/>
    <x v="13"/>
    <x v="985"/>
    <x v="1"/>
    <x v="19"/>
    <x v="1"/>
    <n v="2"/>
    <n v="500"/>
    <x v="1"/>
  </r>
  <r>
    <n v="987"/>
    <x v="310"/>
    <x v="986"/>
    <x v="1"/>
    <x v="4"/>
    <x v="1"/>
    <n v="3"/>
    <n v="300"/>
    <x v="12"/>
  </r>
  <r>
    <n v="988"/>
    <x v="344"/>
    <x v="987"/>
    <x v="1"/>
    <x v="7"/>
    <x v="1"/>
    <n v="3"/>
    <n v="25"/>
    <x v="8"/>
  </r>
  <r>
    <n v="989"/>
    <x v="251"/>
    <x v="988"/>
    <x v="1"/>
    <x v="24"/>
    <x v="2"/>
    <n v="1"/>
    <n v="25"/>
    <x v="16"/>
  </r>
  <r>
    <n v="990"/>
    <x v="242"/>
    <x v="989"/>
    <x v="1"/>
    <x v="26"/>
    <x v="0"/>
    <n v="2"/>
    <n v="500"/>
    <x v="1"/>
  </r>
  <r>
    <n v="991"/>
    <x v="24"/>
    <x v="990"/>
    <x v="1"/>
    <x v="0"/>
    <x v="1"/>
    <n v="2"/>
    <n v="50"/>
    <x v="4"/>
  </r>
  <r>
    <n v="992"/>
    <x v="63"/>
    <x v="991"/>
    <x v="1"/>
    <x v="35"/>
    <x v="2"/>
    <n v="2"/>
    <n v="30"/>
    <x v="17"/>
  </r>
  <r>
    <n v="993"/>
    <x v="74"/>
    <x v="992"/>
    <x v="1"/>
    <x v="27"/>
    <x v="2"/>
    <n v="3"/>
    <n v="50"/>
    <x v="0"/>
  </r>
  <r>
    <n v="994"/>
    <x v="244"/>
    <x v="993"/>
    <x v="1"/>
    <x v="25"/>
    <x v="0"/>
    <n v="2"/>
    <n v="500"/>
    <x v="1"/>
  </r>
  <r>
    <n v="995"/>
    <x v="17"/>
    <x v="994"/>
    <x v="1"/>
    <x v="41"/>
    <x v="1"/>
    <n v="1"/>
    <n v="30"/>
    <x v="2"/>
  </r>
  <r>
    <n v="996"/>
    <x v="42"/>
    <x v="995"/>
    <x v="0"/>
    <x v="17"/>
    <x v="1"/>
    <n v="1"/>
    <n v="50"/>
    <x v="5"/>
  </r>
  <r>
    <n v="997"/>
    <x v="131"/>
    <x v="996"/>
    <x v="0"/>
    <x v="8"/>
    <x v="0"/>
    <n v="3"/>
    <n v="30"/>
    <x v="15"/>
  </r>
  <r>
    <n v="998"/>
    <x v="28"/>
    <x v="997"/>
    <x v="1"/>
    <x v="9"/>
    <x v="0"/>
    <n v="4"/>
    <n v="25"/>
    <x v="4"/>
  </r>
  <r>
    <n v="999"/>
    <x v="59"/>
    <x v="998"/>
    <x v="1"/>
    <x v="32"/>
    <x v="2"/>
    <n v="3"/>
    <n v="50"/>
    <x v="0"/>
  </r>
  <r>
    <n v="1000"/>
    <x v="22"/>
    <x v="999"/>
    <x v="0"/>
    <x v="16"/>
    <x v="2"/>
    <n v="4"/>
    <n v="3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A81A9-7846-4673-B58B-D0129BDEECD4}" name="PivotTable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ge">
  <location ref="A364:B370" firstHeaderRow="1" firstDataRow="1" firstDataCol="1"/>
  <pivotFields count="12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0" format="15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D4DF6-BC31-4D01-8CF4-C7BABC9A2FD6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ate">
  <location ref="A15:B361" firstHeaderRow="1" firstDataRow="1" firstDataCol="1"/>
  <pivotFields count="12">
    <pivotField showAll="0"/>
    <pivotField axis="axisRow"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"/>
  </rowFields>
  <rowItems count="3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230AA-C1BF-48CD-8682-655E13CCA063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Gender">
  <location ref="A9:B12" firstHeaderRow="1" firstDataRow="1" firstDataCol="1"/>
  <pivotFields count="12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72247-6660-43FC-B9E2-0806C816F153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roduct Category">
  <location ref="A2:B6" firstHeaderRow="1" firstDataRow="1" firstDataCol="1"/>
  <pivotFields count="12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>
      <items count="3">
        <item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779E42-E611-4B2E-A470-DCF3B771D991}" name="SalesData" displayName="SalesData" ref="A1:I1001" totalsRowShown="0">
  <autoFilter ref="A1:I1001" xr:uid="{90779E42-E611-4B2E-A470-DCF3B771D991}"/>
  <tableColumns count="9">
    <tableColumn id="1" xr3:uid="{D2345354-F4B3-4008-BCB0-3059F8AA10DB}" name="Transaction ID"/>
    <tableColumn id="2" xr3:uid="{22F8743C-EA5C-4EE1-B6DF-0CDBF4AEEE9E}" name="Date" dataDxfId="0"/>
    <tableColumn id="3" xr3:uid="{068273C0-39E5-460F-9782-198DD6433C02}" name="Customer ID"/>
    <tableColumn id="4" xr3:uid="{CD7DD517-19D9-468B-9919-D1BD484AA919}" name="Gender"/>
    <tableColumn id="5" xr3:uid="{5A306382-6F7E-4F4E-9D7A-F2C696F09DF9}" name="Age"/>
    <tableColumn id="6" xr3:uid="{808971F7-5D82-474C-8BBB-F2B24253F0AB}" name="Product Category"/>
    <tableColumn id="7" xr3:uid="{3CA14234-66F1-49BE-A0AB-D660B22DBE39}" name="Quantity"/>
    <tableColumn id="8" xr3:uid="{2BA38AE7-930D-4A07-B03F-EFF5C3EF7336}" name="Price per Unit"/>
    <tableColumn id="9" xr3:uid="{D3090738-46C3-4389-86BD-04550CECDF3D}" name="Total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8911-516E-4864-A4EC-B8D12144AD08}">
  <dimension ref="A1:I1001"/>
  <sheetViews>
    <sheetView tabSelected="1" workbookViewId="0">
      <selection activeCell="M19" sqref="M19"/>
    </sheetView>
  </sheetViews>
  <sheetFormatPr defaultRowHeight="14.4" x14ac:dyDescent="0.3"/>
  <cols>
    <col min="1" max="1" width="14.6640625" customWidth="1"/>
    <col min="2" max="2" width="10.5546875" bestFit="1" customWidth="1"/>
    <col min="3" max="3" width="13" customWidth="1"/>
    <col min="6" max="6" width="17" customWidth="1"/>
    <col min="7" max="7" width="9.88671875" customWidth="1"/>
    <col min="8" max="8" width="13.88671875" customWidth="1"/>
    <col min="9" max="9" width="14" customWidth="1"/>
    <col min="14" max="14" width="11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836A-012F-471B-89B5-A99B7013B81A}">
  <dimension ref="A1:C17"/>
  <sheetViews>
    <sheetView workbookViewId="0">
      <selection activeCell="C15" sqref="C15"/>
    </sheetView>
  </sheetViews>
  <sheetFormatPr defaultRowHeight="14.4" x14ac:dyDescent="0.3"/>
  <cols>
    <col min="2" max="2" width="65" customWidth="1"/>
    <col min="3" max="3" width="35.6640625" bestFit="1" customWidth="1"/>
  </cols>
  <sheetData>
    <row r="1" spans="1:3" ht="23.4" customHeight="1" x14ac:dyDescent="0.45">
      <c r="A1" s="36" t="s">
        <v>1044</v>
      </c>
      <c r="B1" s="36"/>
      <c r="C1" s="36"/>
    </row>
    <row r="2" spans="1:3" ht="18.600000000000001" customHeight="1" x14ac:dyDescent="0.3">
      <c r="A2" s="44" t="s">
        <v>1045</v>
      </c>
      <c r="B2" s="44" t="s">
        <v>1046</v>
      </c>
      <c r="C2" s="45" t="s">
        <v>1051</v>
      </c>
    </row>
    <row r="3" spans="1:3" ht="15.6" x14ac:dyDescent="0.3">
      <c r="A3" s="38">
        <v>1</v>
      </c>
      <c r="B3" s="30" t="s">
        <v>1036</v>
      </c>
      <c r="C3" s="25" t="s">
        <v>1037</v>
      </c>
    </row>
    <row r="4" spans="1:3" ht="15.6" x14ac:dyDescent="0.3">
      <c r="A4" s="39">
        <v>2</v>
      </c>
      <c r="B4" s="31" t="s">
        <v>1038</v>
      </c>
      <c r="C4" s="26" t="s">
        <v>1048</v>
      </c>
    </row>
    <row r="5" spans="1:3" ht="15.6" x14ac:dyDescent="0.3">
      <c r="A5" s="40">
        <v>3</v>
      </c>
      <c r="B5" s="32" t="s">
        <v>1039</v>
      </c>
      <c r="C5" s="37" t="s">
        <v>1050</v>
      </c>
    </row>
    <row r="6" spans="1:3" ht="15.6" x14ac:dyDescent="0.3">
      <c r="A6" s="41">
        <v>4</v>
      </c>
      <c r="B6" s="33" t="s">
        <v>1040</v>
      </c>
      <c r="C6" s="27" t="s">
        <v>1049</v>
      </c>
    </row>
    <row r="7" spans="1:3" ht="15.6" x14ac:dyDescent="0.3">
      <c r="A7" s="42">
        <v>5</v>
      </c>
      <c r="B7" s="34" t="s">
        <v>1041</v>
      </c>
      <c r="C7" s="28" t="s">
        <v>1042</v>
      </c>
    </row>
    <row r="8" spans="1:3" ht="15.6" x14ac:dyDescent="0.3">
      <c r="A8" s="43">
        <v>6</v>
      </c>
      <c r="B8" s="35" t="s">
        <v>1043</v>
      </c>
      <c r="C8" s="29" t="s">
        <v>1047</v>
      </c>
    </row>
    <row r="17" spans="3:3" x14ac:dyDescent="0.3">
      <c r="C17" s="5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6D34-CEF3-4643-8F73-793877845D6D}">
  <dimension ref="A1:B370"/>
  <sheetViews>
    <sheetView workbookViewId="0">
      <selection activeCell="J14" sqref="J14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1" spans="1:2" x14ac:dyDescent="0.3">
      <c r="A1" s="46" t="s">
        <v>1021</v>
      </c>
      <c r="B1" s="46"/>
    </row>
    <row r="2" spans="1:2" x14ac:dyDescent="0.3">
      <c r="A2" s="3" t="s">
        <v>5</v>
      </c>
      <c r="B2" t="s">
        <v>1015</v>
      </c>
    </row>
    <row r="3" spans="1:2" x14ac:dyDescent="0.3">
      <c r="A3" s="5" t="s">
        <v>11</v>
      </c>
      <c r="B3" s="2">
        <v>143515</v>
      </c>
    </row>
    <row r="4" spans="1:2" x14ac:dyDescent="0.3">
      <c r="A4" s="5" t="s">
        <v>14</v>
      </c>
      <c r="B4" s="2">
        <v>155580</v>
      </c>
    </row>
    <row r="5" spans="1:2" x14ac:dyDescent="0.3">
      <c r="A5" s="5" t="s">
        <v>16</v>
      </c>
      <c r="B5" s="2">
        <v>156905</v>
      </c>
    </row>
    <row r="6" spans="1:2" x14ac:dyDescent="0.3">
      <c r="A6" s="5" t="s">
        <v>1014</v>
      </c>
      <c r="B6" s="2">
        <v>456000</v>
      </c>
    </row>
    <row r="7" spans="1:2" x14ac:dyDescent="0.3">
      <c r="A7" s="5"/>
      <c r="B7" s="2"/>
    </row>
    <row r="8" spans="1:2" x14ac:dyDescent="0.3">
      <c r="A8" s="47" t="s">
        <v>1022</v>
      </c>
      <c r="B8" s="48"/>
    </row>
    <row r="9" spans="1:2" x14ac:dyDescent="0.3">
      <c r="A9" s="3" t="s">
        <v>3</v>
      </c>
      <c r="B9" t="s">
        <v>1015</v>
      </c>
    </row>
    <row r="10" spans="1:2" x14ac:dyDescent="0.3">
      <c r="A10" s="5" t="s">
        <v>13</v>
      </c>
      <c r="B10" s="2">
        <v>232840</v>
      </c>
    </row>
    <row r="11" spans="1:2" x14ac:dyDescent="0.3">
      <c r="A11" s="5" t="s">
        <v>10</v>
      </c>
      <c r="B11" s="2">
        <v>223160</v>
      </c>
    </row>
    <row r="12" spans="1:2" x14ac:dyDescent="0.3">
      <c r="A12" s="5" t="s">
        <v>1014</v>
      </c>
      <c r="B12" s="2">
        <v>456000</v>
      </c>
    </row>
    <row r="14" spans="1:2" x14ac:dyDescent="0.3">
      <c r="A14" s="47" t="s">
        <v>1023</v>
      </c>
      <c r="B14" s="48"/>
    </row>
    <row r="15" spans="1:2" x14ac:dyDescent="0.3">
      <c r="A15" s="3" t="s">
        <v>1</v>
      </c>
      <c r="B15" t="s">
        <v>1015</v>
      </c>
    </row>
    <row r="16" spans="1:2" x14ac:dyDescent="0.3">
      <c r="A16" s="4">
        <v>44927</v>
      </c>
      <c r="B16" s="2">
        <v>3600</v>
      </c>
    </row>
    <row r="17" spans="1:2" x14ac:dyDescent="0.3">
      <c r="A17" s="4">
        <v>44928</v>
      </c>
      <c r="B17" s="2">
        <v>1765</v>
      </c>
    </row>
    <row r="18" spans="1:2" x14ac:dyDescent="0.3">
      <c r="A18" s="4">
        <v>44929</v>
      </c>
      <c r="B18" s="2">
        <v>600</v>
      </c>
    </row>
    <row r="19" spans="1:2" x14ac:dyDescent="0.3">
      <c r="A19" s="4">
        <v>44930</v>
      </c>
      <c r="B19" s="2">
        <v>1240</v>
      </c>
    </row>
    <row r="20" spans="1:2" x14ac:dyDescent="0.3">
      <c r="A20" s="4">
        <v>44931</v>
      </c>
      <c r="B20" s="2">
        <v>1100</v>
      </c>
    </row>
    <row r="21" spans="1:2" x14ac:dyDescent="0.3">
      <c r="A21" s="4">
        <v>44932</v>
      </c>
      <c r="B21" s="2">
        <v>620</v>
      </c>
    </row>
    <row r="22" spans="1:2" x14ac:dyDescent="0.3">
      <c r="A22" s="4">
        <v>44933</v>
      </c>
      <c r="B22" s="2">
        <v>150</v>
      </c>
    </row>
    <row r="23" spans="1:2" x14ac:dyDescent="0.3">
      <c r="A23" s="4">
        <v>44934</v>
      </c>
      <c r="B23" s="2">
        <v>625</v>
      </c>
    </row>
    <row r="24" spans="1:2" x14ac:dyDescent="0.3">
      <c r="A24" s="4">
        <v>44935</v>
      </c>
      <c r="B24" s="2">
        <v>200</v>
      </c>
    </row>
    <row r="25" spans="1:2" x14ac:dyDescent="0.3">
      <c r="A25" s="4">
        <v>44936</v>
      </c>
      <c r="B25" s="2">
        <v>230</v>
      </c>
    </row>
    <row r="26" spans="1:2" x14ac:dyDescent="0.3">
      <c r="A26" s="4">
        <v>44937</v>
      </c>
      <c r="B26" s="2">
        <v>280</v>
      </c>
    </row>
    <row r="27" spans="1:2" x14ac:dyDescent="0.3">
      <c r="A27" s="4">
        <v>44939</v>
      </c>
      <c r="B27" s="2">
        <v>1930</v>
      </c>
    </row>
    <row r="28" spans="1:2" x14ac:dyDescent="0.3">
      <c r="A28" s="4">
        <v>44940</v>
      </c>
      <c r="B28" s="2">
        <v>1550</v>
      </c>
    </row>
    <row r="29" spans="1:2" x14ac:dyDescent="0.3">
      <c r="A29" s="4">
        <v>44941</v>
      </c>
      <c r="B29" s="2">
        <v>660</v>
      </c>
    </row>
    <row r="30" spans="1:2" x14ac:dyDescent="0.3">
      <c r="A30" s="4">
        <v>44942</v>
      </c>
      <c r="B30" s="2">
        <v>4000</v>
      </c>
    </row>
    <row r="31" spans="1:2" x14ac:dyDescent="0.3">
      <c r="A31" s="4">
        <v>44943</v>
      </c>
      <c r="B31" s="2">
        <v>1645</v>
      </c>
    </row>
    <row r="32" spans="1:2" x14ac:dyDescent="0.3">
      <c r="A32" s="4">
        <v>44945</v>
      </c>
      <c r="B32" s="2">
        <v>30</v>
      </c>
    </row>
    <row r="33" spans="1:2" x14ac:dyDescent="0.3">
      <c r="A33" s="4">
        <v>44946</v>
      </c>
      <c r="B33" s="2">
        <v>125</v>
      </c>
    </row>
    <row r="34" spans="1:2" x14ac:dyDescent="0.3">
      <c r="A34" s="4">
        <v>44947</v>
      </c>
      <c r="B34" s="2">
        <v>2090</v>
      </c>
    </row>
    <row r="35" spans="1:2" x14ac:dyDescent="0.3">
      <c r="A35" s="4">
        <v>44948</v>
      </c>
      <c r="B35" s="2">
        <v>325</v>
      </c>
    </row>
    <row r="36" spans="1:2" x14ac:dyDescent="0.3">
      <c r="A36" s="4">
        <v>44949</v>
      </c>
      <c r="B36" s="2">
        <v>3120</v>
      </c>
    </row>
    <row r="37" spans="1:2" x14ac:dyDescent="0.3">
      <c r="A37" s="4">
        <v>44950</v>
      </c>
      <c r="B37" s="2">
        <v>2250</v>
      </c>
    </row>
    <row r="38" spans="1:2" x14ac:dyDescent="0.3">
      <c r="A38" s="4">
        <v>44951</v>
      </c>
      <c r="B38" s="2">
        <v>50</v>
      </c>
    </row>
    <row r="39" spans="1:2" x14ac:dyDescent="0.3">
      <c r="A39" s="4">
        <v>44952</v>
      </c>
      <c r="B39" s="2">
        <v>2570</v>
      </c>
    </row>
    <row r="40" spans="1:2" x14ac:dyDescent="0.3">
      <c r="A40" s="4">
        <v>44953</v>
      </c>
      <c r="B40" s="2">
        <v>235</v>
      </c>
    </row>
    <row r="41" spans="1:2" x14ac:dyDescent="0.3">
      <c r="A41" s="4">
        <v>44954</v>
      </c>
      <c r="B41" s="2">
        <v>1020</v>
      </c>
    </row>
    <row r="42" spans="1:2" x14ac:dyDescent="0.3">
      <c r="A42" s="4">
        <v>44955</v>
      </c>
      <c r="B42" s="2">
        <v>600</v>
      </c>
    </row>
    <row r="43" spans="1:2" x14ac:dyDescent="0.3">
      <c r="A43" s="4">
        <v>44956</v>
      </c>
      <c r="B43" s="2">
        <v>740</v>
      </c>
    </row>
    <row r="44" spans="1:2" x14ac:dyDescent="0.3">
      <c r="A44" s="4">
        <v>44957</v>
      </c>
      <c r="B44" s="2">
        <v>2100</v>
      </c>
    </row>
    <row r="45" spans="1:2" x14ac:dyDescent="0.3">
      <c r="A45" s="4">
        <v>44958</v>
      </c>
      <c r="B45" s="2">
        <v>4700</v>
      </c>
    </row>
    <row r="46" spans="1:2" x14ac:dyDescent="0.3">
      <c r="A46" s="4">
        <v>44959</v>
      </c>
      <c r="B46" s="2">
        <v>1375</v>
      </c>
    </row>
    <row r="47" spans="1:2" x14ac:dyDescent="0.3">
      <c r="A47" s="4">
        <v>44960</v>
      </c>
      <c r="B47" s="2">
        <v>1230</v>
      </c>
    </row>
    <row r="48" spans="1:2" x14ac:dyDescent="0.3">
      <c r="A48" s="4">
        <v>44961</v>
      </c>
      <c r="B48" s="2">
        <v>1120</v>
      </c>
    </row>
    <row r="49" spans="1:2" x14ac:dyDescent="0.3">
      <c r="A49" s="4">
        <v>44962</v>
      </c>
      <c r="B49" s="2">
        <v>1805</v>
      </c>
    </row>
    <row r="50" spans="1:2" x14ac:dyDescent="0.3">
      <c r="A50" s="4">
        <v>44963</v>
      </c>
      <c r="B50" s="2">
        <v>625</v>
      </c>
    </row>
    <row r="51" spans="1:2" x14ac:dyDescent="0.3">
      <c r="A51" s="4">
        <v>44964</v>
      </c>
      <c r="B51" s="2">
        <v>2100</v>
      </c>
    </row>
    <row r="52" spans="1:2" x14ac:dyDescent="0.3">
      <c r="A52" s="4">
        <v>44965</v>
      </c>
      <c r="B52" s="2">
        <v>425</v>
      </c>
    </row>
    <row r="53" spans="1:2" x14ac:dyDescent="0.3">
      <c r="A53" s="4">
        <v>44966</v>
      </c>
      <c r="B53" s="2">
        <v>600</v>
      </c>
    </row>
    <row r="54" spans="1:2" x14ac:dyDescent="0.3">
      <c r="A54" s="4">
        <v>44967</v>
      </c>
      <c r="B54" s="2">
        <v>1900</v>
      </c>
    </row>
    <row r="55" spans="1:2" x14ac:dyDescent="0.3">
      <c r="A55" s="4">
        <v>44968</v>
      </c>
      <c r="B55" s="2">
        <v>2215</v>
      </c>
    </row>
    <row r="56" spans="1:2" x14ac:dyDescent="0.3">
      <c r="A56" s="4">
        <v>44969</v>
      </c>
      <c r="B56" s="2">
        <v>500</v>
      </c>
    </row>
    <row r="57" spans="1:2" x14ac:dyDescent="0.3">
      <c r="A57" s="4">
        <v>44970</v>
      </c>
      <c r="B57" s="2">
        <v>3600</v>
      </c>
    </row>
    <row r="58" spans="1:2" x14ac:dyDescent="0.3">
      <c r="A58" s="4">
        <v>44971</v>
      </c>
      <c r="B58" s="2">
        <v>400</v>
      </c>
    </row>
    <row r="59" spans="1:2" x14ac:dyDescent="0.3">
      <c r="A59" s="4">
        <v>44973</v>
      </c>
      <c r="B59" s="2">
        <v>900</v>
      </c>
    </row>
    <row r="60" spans="1:2" x14ac:dyDescent="0.3">
      <c r="A60" s="4">
        <v>44974</v>
      </c>
      <c r="B60" s="2">
        <v>5890</v>
      </c>
    </row>
    <row r="61" spans="1:2" x14ac:dyDescent="0.3">
      <c r="A61" s="4">
        <v>44975</v>
      </c>
      <c r="B61" s="2">
        <v>1000</v>
      </c>
    </row>
    <row r="62" spans="1:2" x14ac:dyDescent="0.3">
      <c r="A62" s="4">
        <v>44976</v>
      </c>
      <c r="B62" s="2">
        <v>2025</v>
      </c>
    </row>
    <row r="63" spans="1:2" x14ac:dyDescent="0.3">
      <c r="A63" s="4">
        <v>44977</v>
      </c>
      <c r="B63" s="2">
        <v>1130</v>
      </c>
    </row>
    <row r="64" spans="1:2" x14ac:dyDescent="0.3">
      <c r="A64" s="4">
        <v>44978</v>
      </c>
      <c r="B64" s="2">
        <v>385</v>
      </c>
    </row>
    <row r="65" spans="1:2" x14ac:dyDescent="0.3">
      <c r="A65" s="4">
        <v>44979</v>
      </c>
      <c r="B65" s="2">
        <v>300</v>
      </c>
    </row>
    <row r="66" spans="1:2" x14ac:dyDescent="0.3">
      <c r="A66" s="4">
        <v>44980</v>
      </c>
      <c r="B66" s="2">
        <v>30</v>
      </c>
    </row>
    <row r="67" spans="1:2" x14ac:dyDescent="0.3">
      <c r="A67" s="4">
        <v>44981</v>
      </c>
      <c r="B67" s="2">
        <v>3200</v>
      </c>
    </row>
    <row r="68" spans="1:2" x14ac:dyDescent="0.3">
      <c r="A68" s="4">
        <v>44982</v>
      </c>
      <c r="B68" s="2">
        <v>2550</v>
      </c>
    </row>
    <row r="69" spans="1:2" x14ac:dyDescent="0.3">
      <c r="A69" s="4">
        <v>44983</v>
      </c>
      <c r="B69" s="2">
        <v>50</v>
      </c>
    </row>
    <row r="70" spans="1:2" x14ac:dyDescent="0.3">
      <c r="A70" s="4">
        <v>44984</v>
      </c>
      <c r="B70" s="2">
        <v>1825</v>
      </c>
    </row>
    <row r="71" spans="1:2" x14ac:dyDescent="0.3">
      <c r="A71" s="4">
        <v>44985</v>
      </c>
      <c r="B71" s="2">
        <v>2180</v>
      </c>
    </row>
    <row r="72" spans="1:2" x14ac:dyDescent="0.3">
      <c r="A72" s="4">
        <v>44986</v>
      </c>
      <c r="B72" s="2">
        <v>460</v>
      </c>
    </row>
    <row r="73" spans="1:2" x14ac:dyDescent="0.3">
      <c r="A73" s="4">
        <v>44987</v>
      </c>
      <c r="B73" s="2">
        <v>300</v>
      </c>
    </row>
    <row r="74" spans="1:2" x14ac:dyDescent="0.3">
      <c r="A74" s="4">
        <v>44988</v>
      </c>
      <c r="B74" s="2">
        <v>970</v>
      </c>
    </row>
    <row r="75" spans="1:2" x14ac:dyDescent="0.3">
      <c r="A75" s="4">
        <v>44989</v>
      </c>
      <c r="B75" s="2">
        <v>1000</v>
      </c>
    </row>
    <row r="76" spans="1:2" x14ac:dyDescent="0.3">
      <c r="A76" s="4">
        <v>44990</v>
      </c>
      <c r="B76" s="2">
        <v>420</v>
      </c>
    </row>
    <row r="77" spans="1:2" x14ac:dyDescent="0.3">
      <c r="A77" s="4">
        <v>44991</v>
      </c>
      <c r="B77" s="2">
        <v>625</v>
      </c>
    </row>
    <row r="78" spans="1:2" x14ac:dyDescent="0.3">
      <c r="A78" s="4">
        <v>44992</v>
      </c>
      <c r="B78" s="2">
        <v>3040</v>
      </c>
    </row>
    <row r="79" spans="1:2" x14ac:dyDescent="0.3">
      <c r="A79" s="4">
        <v>44993</v>
      </c>
      <c r="B79" s="2">
        <v>25</v>
      </c>
    </row>
    <row r="80" spans="1:2" x14ac:dyDescent="0.3">
      <c r="A80" s="4">
        <v>44994</v>
      </c>
      <c r="B80" s="2">
        <v>1200</v>
      </c>
    </row>
    <row r="81" spans="1:2" x14ac:dyDescent="0.3">
      <c r="A81" s="4">
        <v>44995</v>
      </c>
      <c r="B81" s="2">
        <v>175</v>
      </c>
    </row>
    <row r="82" spans="1:2" x14ac:dyDescent="0.3">
      <c r="A82" s="4">
        <v>44996</v>
      </c>
      <c r="B82" s="2">
        <v>500</v>
      </c>
    </row>
    <row r="83" spans="1:2" x14ac:dyDescent="0.3">
      <c r="A83" s="4">
        <v>44997</v>
      </c>
      <c r="B83" s="2">
        <v>525</v>
      </c>
    </row>
    <row r="84" spans="1:2" x14ac:dyDescent="0.3">
      <c r="A84" s="4">
        <v>44998</v>
      </c>
      <c r="B84" s="2">
        <v>300</v>
      </c>
    </row>
    <row r="85" spans="1:2" x14ac:dyDescent="0.3">
      <c r="A85" s="4">
        <v>45000</v>
      </c>
      <c r="B85" s="2">
        <v>1000</v>
      </c>
    </row>
    <row r="86" spans="1:2" x14ac:dyDescent="0.3">
      <c r="A86" s="4">
        <v>45002</v>
      </c>
      <c r="B86" s="2">
        <v>1075</v>
      </c>
    </row>
    <row r="87" spans="1:2" x14ac:dyDescent="0.3">
      <c r="A87" s="4">
        <v>45003</v>
      </c>
      <c r="B87" s="2">
        <v>1620</v>
      </c>
    </row>
    <row r="88" spans="1:2" x14ac:dyDescent="0.3">
      <c r="A88" s="4">
        <v>45004</v>
      </c>
      <c r="B88" s="2">
        <v>80</v>
      </c>
    </row>
    <row r="89" spans="1:2" x14ac:dyDescent="0.3">
      <c r="A89" s="4">
        <v>45005</v>
      </c>
      <c r="B89" s="2">
        <v>2950</v>
      </c>
    </row>
    <row r="90" spans="1:2" x14ac:dyDescent="0.3">
      <c r="A90" s="4">
        <v>45006</v>
      </c>
      <c r="B90" s="2">
        <v>3500</v>
      </c>
    </row>
    <row r="91" spans="1:2" x14ac:dyDescent="0.3">
      <c r="A91" s="4">
        <v>45007</v>
      </c>
      <c r="B91" s="2">
        <v>1390</v>
      </c>
    </row>
    <row r="92" spans="1:2" x14ac:dyDescent="0.3">
      <c r="A92" s="4">
        <v>45008</v>
      </c>
      <c r="B92" s="2">
        <v>1950</v>
      </c>
    </row>
    <row r="93" spans="1:2" x14ac:dyDescent="0.3">
      <c r="A93" s="4">
        <v>45009</v>
      </c>
      <c r="B93" s="2">
        <v>250</v>
      </c>
    </row>
    <row r="94" spans="1:2" x14ac:dyDescent="0.3">
      <c r="A94" s="4">
        <v>45010</v>
      </c>
      <c r="B94" s="2">
        <v>1625</v>
      </c>
    </row>
    <row r="95" spans="1:2" x14ac:dyDescent="0.3">
      <c r="A95" s="4">
        <v>45011</v>
      </c>
      <c r="B95" s="2">
        <v>1420</v>
      </c>
    </row>
    <row r="96" spans="1:2" x14ac:dyDescent="0.3">
      <c r="A96" s="4">
        <v>45012</v>
      </c>
      <c r="B96" s="2">
        <v>590</v>
      </c>
    </row>
    <row r="97" spans="1:2" x14ac:dyDescent="0.3">
      <c r="A97" s="4">
        <v>45013</v>
      </c>
      <c r="B97" s="2">
        <v>100</v>
      </c>
    </row>
    <row r="98" spans="1:2" x14ac:dyDescent="0.3">
      <c r="A98" s="4">
        <v>45014</v>
      </c>
      <c r="B98" s="2">
        <v>500</v>
      </c>
    </row>
    <row r="99" spans="1:2" x14ac:dyDescent="0.3">
      <c r="A99" s="4">
        <v>45015</v>
      </c>
      <c r="B99" s="2">
        <v>200</v>
      </c>
    </row>
    <row r="100" spans="1:2" x14ac:dyDescent="0.3">
      <c r="A100" s="4">
        <v>45016</v>
      </c>
      <c r="B100" s="2">
        <v>1200</v>
      </c>
    </row>
    <row r="101" spans="1:2" x14ac:dyDescent="0.3">
      <c r="A101" s="4">
        <v>45017</v>
      </c>
      <c r="B101" s="2">
        <v>4400</v>
      </c>
    </row>
    <row r="102" spans="1:2" x14ac:dyDescent="0.3">
      <c r="A102" s="4">
        <v>45018</v>
      </c>
      <c r="B102" s="2">
        <v>2600</v>
      </c>
    </row>
    <row r="103" spans="1:2" x14ac:dyDescent="0.3">
      <c r="A103" s="4">
        <v>45020</v>
      </c>
      <c r="B103" s="2">
        <v>1620</v>
      </c>
    </row>
    <row r="104" spans="1:2" x14ac:dyDescent="0.3">
      <c r="A104" s="4">
        <v>45021</v>
      </c>
      <c r="B104" s="2">
        <v>2100</v>
      </c>
    </row>
    <row r="105" spans="1:2" x14ac:dyDescent="0.3">
      <c r="A105" s="4">
        <v>45022</v>
      </c>
      <c r="B105" s="2">
        <v>1200</v>
      </c>
    </row>
    <row r="106" spans="1:2" x14ac:dyDescent="0.3">
      <c r="A106" s="4">
        <v>45024</v>
      </c>
      <c r="B106" s="2">
        <v>2450</v>
      </c>
    </row>
    <row r="107" spans="1:2" x14ac:dyDescent="0.3">
      <c r="A107" s="4">
        <v>45025</v>
      </c>
      <c r="B107" s="2">
        <v>2235</v>
      </c>
    </row>
    <row r="108" spans="1:2" x14ac:dyDescent="0.3">
      <c r="A108" s="4">
        <v>45026</v>
      </c>
      <c r="B108" s="2">
        <v>60</v>
      </c>
    </row>
    <row r="109" spans="1:2" x14ac:dyDescent="0.3">
      <c r="A109" s="4">
        <v>45027</v>
      </c>
      <c r="B109" s="2">
        <v>50</v>
      </c>
    </row>
    <row r="110" spans="1:2" x14ac:dyDescent="0.3">
      <c r="A110" s="4">
        <v>45028</v>
      </c>
      <c r="B110" s="2">
        <v>1590</v>
      </c>
    </row>
    <row r="111" spans="1:2" x14ac:dyDescent="0.3">
      <c r="A111" s="4">
        <v>45029</v>
      </c>
      <c r="B111" s="2">
        <v>360</v>
      </c>
    </row>
    <row r="112" spans="1:2" x14ac:dyDescent="0.3">
      <c r="A112" s="4">
        <v>45031</v>
      </c>
      <c r="B112" s="2">
        <v>700</v>
      </c>
    </row>
    <row r="113" spans="1:2" x14ac:dyDescent="0.3">
      <c r="A113" s="4">
        <v>45032</v>
      </c>
      <c r="B113" s="2">
        <v>300</v>
      </c>
    </row>
    <row r="114" spans="1:2" x14ac:dyDescent="0.3">
      <c r="A114" s="4">
        <v>45033</v>
      </c>
      <c r="B114" s="2">
        <v>25</v>
      </c>
    </row>
    <row r="115" spans="1:2" x14ac:dyDescent="0.3">
      <c r="A115" s="4">
        <v>45034</v>
      </c>
      <c r="B115" s="2">
        <v>500</v>
      </c>
    </row>
    <row r="116" spans="1:2" x14ac:dyDescent="0.3">
      <c r="A116" s="4">
        <v>45035</v>
      </c>
      <c r="B116" s="2">
        <v>2725</v>
      </c>
    </row>
    <row r="117" spans="1:2" x14ac:dyDescent="0.3">
      <c r="A117" s="4">
        <v>45036</v>
      </c>
      <c r="B117" s="2">
        <v>3375</v>
      </c>
    </row>
    <row r="118" spans="1:2" x14ac:dyDescent="0.3">
      <c r="A118" s="4">
        <v>45037</v>
      </c>
      <c r="B118" s="2">
        <v>170</v>
      </c>
    </row>
    <row r="119" spans="1:2" x14ac:dyDescent="0.3">
      <c r="A119" s="4">
        <v>45038</v>
      </c>
      <c r="B119" s="2">
        <v>225</v>
      </c>
    </row>
    <row r="120" spans="1:2" x14ac:dyDescent="0.3">
      <c r="A120" s="4">
        <v>45039</v>
      </c>
      <c r="B120" s="2">
        <v>2905</v>
      </c>
    </row>
    <row r="121" spans="1:2" x14ac:dyDescent="0.3">
      <c r="A121" s="4">
        <v>45040</v>
      </c>
      <c r="B121" s="2">
        <v>170</v>
      </c>
    </row>
    <row r="122" spans="1:2" x14ac:dyDescent="0.3">
      <c r="A122" s="4">
        <v>45041</v>
      </c>
      <c r="B122" s="2">
        <v>160</v>
      </c>
    </row>
    <row r="123" spans="1:2" x14ac:dyDescent="0.3">
      <c r="A123" s="4">
        <v>45042</v>
      </c>
      <c r="B123" s="2">
        <v>270</v>
      </c>
    </row>
    <row r="124" spans="1:2" x14ac:dyDescent="0.3">
      <c r="A124" s="4">
        <v>45043</v>
      </c>
      <c r="B124" s="2">
        <v>1430</v>
      </c>
    </row>
    <row r="125" spans="1:2" x14ac:dyDescent="0.3">
      <c r="A125" s="4">
        <v>45044</v>
      </c>
      <c r="B125" s="2">
        <v>135</v>
      </c>
    </row>
    <row r="126" spans="1:2" x14ac:dyDescent="0.3">
      <c r="A126" s="4">
        <v>45045</v>
      </c>
      <c r="B126" s="2">
        <v>1960</v>
      </c>
    </row>
    <row r="127" spans="1:2" x14ac:dyDescent="0.3">
      <c r="A127" s="4">
        <v>45046</v>
      </c>
      <c r="B127" s="2">
        <v>155</v>
      </c>
    </row>
    <row r="128" spans="1:2" x14ac:dyDescent="0.3">
      <c r="A128" s="4">
        <v>45047</v>
      </c>
      <c r="B128" s="2">
        <v>625</v>
      </c>
    </row>
    <row r="129" spans="1:2" x14ac:dyDescent="0.3">
      <c r="A129" s="4">
        <v>45048</v>
      </c>
      <c r="B129" s="2">
        <v>165</v>
      </c>
    </row>
    <row r="130" spans="1:2" x14ac:dyDescent="0.3">
      <c r="A130" s="4">
        <v>45049</v>
      </c>
      <c r="B130" s="2">
        <v>300</v>
      </c>
    </row>
    <row r="131" spans="1:2" x14ac:dyDescent="0.3">
      <c r="A131" s="4">
        <v>45050</v>
      </c>
      <c r="B131" s="2">
        <v>1140</v>
      </c>
    </row>
    <row r="132" spans="1:2" x14ac:dyDescent="0.3">
      <c r="A132" s="4">
        <v>45051</v>
      </c>
      <c r="B132" s="2">
        <v>1520</v>
      </c>
    </row>
    <row r="133" spans="1:2" x14ac:dyDescent="0.3">
      <c r="A133" s="4">
        <v>45052</v>
      </c>
      <c r="B133" s="2">
        <v>990</v>
      </c>
    </row>
    <row r="134" spans="1:2" x14ac:dyDescent="0.3">
      <c r="A134" s="4">
        <v>45053</v>
      </c>
      <c r="B134" s="2">
        <v>995</v>
      </c>
    </row>
    <row r="135" spans="1:2" x14ac:dyDescent="0.3">
      <c r="A135" s="4">
        <v>45054</v>
      </c>
      <c r="B135" s="2">
        <v>4200</v>
      </c>
    </row>
    <row r="136" spans="1:2" x14ac:dyDescent="0.3">
      <c r="A136" s="4">
        <v>45055</v>
      </c>
      <c r="B136" s="2">
        <v>660</v>
      </c>
    </row>
    <row r="137" spans="1:2" x14ac:dyDescent="0.3">
      <c r="A137" s="4">
        <v>45056</v>
      </c>
      <c r="B137" s="2">
        <v>2200</v>
      </c>
    </row>
    <row r="138" spans="1:2" x14ac:dyDescent="0.3">
      <c r="A138" s="4">
        <v>45057</v>
      </c>
      <c r="B138" s="2">
        <v>30</v>
      </c>
    </row>
    <row r="139" spans="1:2" x14ac:dyDescent="0.3">
      <c r="A139" s="4">
        <v>45058</v>
      </c>
      <c r="B139" s="2">
        <v>100</v>
      </c>
    </row>
    <row r="140" spans="1:2" x14ac:dyDescent="0.3">
      <c r="A140" s="4">
        <v>45059</v>
      </c>
      <c r="B140" s="2">
        <v>800</v>
      </c>
    </row>
    <row r="141" spans="1:2" x14ac:dyDescent="0.3">
      <c r="A141" s="4">
        <v>45060</v>
      </c>
      <c r="B141" s="2">
        <v>1060</v>
      </c>
    </row>
    <row r="142" spans="1:2" x14ac:dyDescent="0.3">
      <c r="A142" s="4">
        <v>45061</v>
      </c>
      <c r="B142" s="2">
        <v>1680</v>
      </c>
    </row>
    <row r="143" spans="1:2" x14ac:dyDescent="0.3">
      <c r="A143" s="4">
        <v>45062</v>
      </c>
      <c r="B143" s="2">
        <v>7260</v>
      </c>
    </row>
    <row r="144" spans="1:2" x14ac:dyDescent="0.3">
      <c r="A144" s="4">
        <v>45063</v>
      </c>
      <c r="B144" s="2">
        <v>3050</v>
      </c>
    </row>
    <row r="145" spans="1:2" x14ac:dyDescent="0.3">
      <c r="A145" s="4">
        <v>45064</v>
      </c>
      <c r="B145" s="2">
        <v>550</v>
      </c>
    </row>
    <row r="146" spans="1:2" x14ac:dyDescent="0.3">
      <c r="A146" s="4">
        <v>45065</v>
      </c>
      <c r="B146" s="2">
        <v>1350</v>
      </c>
    </row>
    <row r="147" spans="1:2" x14ac:dyDescent="0.3">
      <c r="A147" s="4">
        <v>45066</v>
      </c>
      <c r="B147" s="2">
        <v>725</v>
      </c>
    </row>
    <row r="148" spans="1:2" x14ac:dyDescent="0.3">
      <c r="A148" s="4">
        <v>45067</v>
      </c>
      <c r="B148" s="2">
        <v>2900</v>
      </c>
    </row>
    <row r="149" spans="1:2" x14ac:dyDescent="0.3">
      <c r="A149" s="4">
        <v>45068</v>
      </c>
      <c r="B149" s="2">
        <v>1810</v>
      </c>
    </row>
    <row r="150" spans="1:2" x14ac:dyDescent="0.3">
      <c r="A150" s="4">
        <v>45069</v>
      </c>
      <c r="B150" s="2">
        <v>8455</v>
      </c>
    </row>
    <row r="151" spans="1:2" x14ac:dyDescent="0.3">
      <c r="A151" s="4">
        <v>45070</v>
      </c>
      <c r="B151" s="2">
        <v>50</v>
      </c>
    </row>
    <row r="152" spans="1:2" x14ac:dyDescent="0.3">
      <c r="A152" s="4">
        <v>45071</v>
      </c>
      <c r="B152" s="2">
        <v>2600</v>
      </c>
    </row>
    <row r="153" spans="1:2" x14ac:dyDescent="0.3">
      <c r="A153" s="4">
        <v>45072</v>
      </c>
      <c r="B153" s="2">
        <v>2020</v>
      </c>
    </row>
    <row r="154" spans="1:2" x14ac:dyDescent="0.3">
      <c r="A154" s="4">
        <v>45073</v>
      </c>
      <c r="B154" s="2">
        <v>2200</v>
      </c>
    </row>
    <row r="155" spans="1:2" x14ac:dyDescent="0.3">
      <c r="A155" s="4">
        <v>45074</v>
      </c>
      <c r="B155" s="2">
        <v>75</v>
      </c>
    </row>
    <row r="156" spans="1:2" x14ac:dyDescent="0.3">
      <c r="A156" s="4">
        <v>45075</v>
      </c>
      <c r="B156" s="2">
        <v>1200</v>
      </c>
    </row>
    <row r="157" spans="1:2" x14ac:dyDescent="0.3">
      <c r="A157" s="4">
        <v>45076</v>
      </c>
      <c r="B157" s="2">
        <v>140</v>
      </c>
    </row>
    <row r="158" spans="1:2" x14ac:dyDescent="0.3">
      <c r="A158" s="4">
        <v>45077</v>
      </c>
      <c r="B158" s="2">
        <v>2300</v>
      </c>
    </row>
    <row r="159" spans="1:2" x14ac:dyDescent="0.3">
      <c r="A159" s="4">
        <v>45078</v>
      </c>
      <c r="B159" s="2">
        <v>160</v>
      </c>
    </row>
    <row r="160" spans="1:2" x14ac:dyDescent="0.3">
      <c r="A160" s="4">
        <v>45079</v>
      </c>
      <c r="B160" s="2">
        <v>150</v>
      </c>
    </row>
    <row r="161" spans="1:2" x14ac:dyDescent="0.3">
      <c r="A161" s="4">
        <v>45080</v>
      </c>
      <c r="B161" s="2">
        <v>1025</v>
      </c>
    </row>
    <row r="162" spans="1:2" x14ac:dyDescent="0.3">
      <c r="A162" s="4">
        <v>45081</v>
      </c>
      <c r="B162" s="2">
        <v>1030</v>
      </c>
    </row>
    <row r="163" spans="1:2" x14ac:dyDescent="0.3">
      <c r="A163" s="4">
        <v>45082</v>
      </c>
      <c r="B163" s="2">
        <v>100</v>
      </c>
    </row>
    <row r="164" spans="1:2" x14ac:dyDescent="0.3">
      <c r="A164" s="4">
        <v>45083</v>
      </c>
      <c r="B164" s="2">
        <v>1950</v>
      </c>
    </row>
    <row r="165" spans="1:2" x14ac:dyDescent="0.3">
      <c r="A165" s="4">
        <v>45084</v>
      </c>
      <c r="B165" s="2">
        <v>150</v>
      </c>
    </row>
    <row r="166" spans="1:2" x14ac:dyDescent="0.3">
      <c r="A166" s="4">
        <v>45085</v>
      </c>
      <c r="B166" s="2">
        <v>1700</v>
      </c>
    </row>
    <row r="167" spans="1:2" x14ac:dyDescent="0.3">
      <c r="A167" s="4">
        <v>45086</v>
      </c>
      <c r="B167" s="2">
        <v>1820</v>
      </c>
    </row>
    <row r="168" spans="1:2" x14ac:dyDescent="0.3">
      <c r="A168" s="4">
        <v>45087</v>
      </c>
      <c r="B168" s="2">
        <v>2750</v>
      </c>
    </row>
    <row r="169" spans="1:2" x14ac:dyDescent="0.3">
      <c r="A169" s="4">
        <v>45088</v>
      </c>
      <c r="B169" s="2">
        <v>3300</v>
      </c>
    </row>
    <row r="170" spans="1:2" x14ac:dyDescent="0.3">
      <c r="A170" s="4">
        <v>45089</v>
      </c>
      <c r="B170" s="2">
        <v>50</v>
      </c>
    </row>
    <row r="171" spans="1:2" x14ac:dyDescent="0.3">
      <c r="A171" s="4">
        <v>45090</v>
      </c>
      <c r="B171" s="2">
        <v>500</v>
      </c>
    </row>
    <row r="172" spans="1:2" x14ac:dyDescent="0.3">
      <c r="A172" s="4">
        <v>45091</v>
      </c>
      <c r="B172" s="2">
        <v>900</v>
      </c>
    </row>
    <row r="173" spans="1:2" x14ac:dyDescent="0.3">
      <c r="A173" s="4">
        <v>45092</v>
      </c>
      <c r="B173" s="2">
        <v>220</v>
      </c>
    </row>
    <row r="174" spans="1:2" x14ac:dyDescent="0.3">
      <c r="A174" s="4">
        <v>45093</v>
      </c>
      <c r="B174" s="2">
        <v>230</v>
      </c>
    </row>
    <row r="175" spans="1:2" x14ac:dyDescent="0.3">
      <c r="A175" s="4">
        <v>45094</v>
      </c>
      <c r="B175" s="2">
        <v>1450</v>
      </c>
    </row>
    <row r="176" spans="1:2" x14ac:dyDescent="0.3">
      <c r="A176" s="4">
        <v>45095</v>
      </c>
      <c r="B176" s="2">
        <v>900</v>
      </c>
    </row>
    <row r="177" spans="1:2" x14ac:dyDescent="0.3">
      <c r="A177" s="4">
        <v>45096</v>
      </c>
      <c r="B177" s="2">
        <v>2945</v>
      </c>
    </row>
    <row r="178" spans="1:2" x14ac:dyDescent="0.3">
      <c r="A178" s="4">
        <v>45097</v>
      </c>
      <c r="B178" s="2">
        <v>190</v>
      </c>
    </row>
    <row r="179" spans="1:2" x14ac:dyDescent="0.3">
      <c r="A179" s="4">
        <v>45098</v>
      </c>
      <c r="B179" s="2">
        <v>175</v>
      </c>
    </row>
    <row r="180" spans="1:2" x14ac:dyDescent="0.3">
      <c r="A180" s="4">
        <v>45099</v>
      </c>
      <c r="B180" s="2">
        <v>1220</v>
      </c>
    </row>
    <row r="181" spans="1:2" x14ac:dyDescent="0.3">
      <c r="A181" s="4">
        <v>45100</v>
      </c>
      <c r="B181" s="2">
        <v>170</v>
      </c>
    </row>
    <row r="182" spans="1:2" x14ac:dyDescent="0.3">
      <c r="A182" s="4">
        <v>45101</v>
      </c>
      <c r="B182" s="2">
        <v>6220</v>
      </c>
    </row>
    <row r="183" spans="1:2" x14ac:dyDescent="0.3">
      <c r="A183" s="4">
        <v>45102</v>
      </c>
      <c r="B183" s="2">
        <v>900</v>
      </c>
    </row>
    <row r="184" spans="1:2" x14ac:dyDescent="0.3">
      <c r="A184" s="4">
        <v>45103</v>
      </c>
      <c r="B184" s="2">
        <v>2130</v>
      </c>
    </row>
    <row r="185" spans="1:2" x14ac:dyDescent="0.3">
      <c r="A185" s="4">
        <v>45104</v>
      </c>
      <c r="B185" s="2">
        <v>900</v>
      </c>
    </row>
    <row r="186" spans="1:2" x14ac:dyDescent="0.3">
      <c r="A186" s="4">
        <v>45105</v>
      </c>
      <c r="B186" s="2">
        <v>300</v>
      </c>
    </row>
    <row r="187" spans="1:2" x14ac:dyDescent="0.3">
      <c r="A187" s="4">
        <v>45106</v>
      </c>
      <c r="B187" s="2">
        <v>2150</v>
      </c>
    </row>
    <row r="188" spans="1:2" x14ac:dyDescent="0.3">
      <c r="A188" s="4">
        <v>45107</v>
      </c>
      <c r="B188" s="2">
        <v>1030</v>
      </c>
    </row>
    <row r="189" spans="1:2" x14ac:dyDescent="0.3">
      <c r="A189" s="4">
        <v>45108</v>
      </c>
      <c r="B189" s="2">
        <v>1750</v>
      </c>
    </row>
    <row r="190" spans="1:2" x14ac:dyDescent="0.3">
      <c r="A190" s="4">
        <v>45110</v>
      </c>
      <c r="B190" s="2">
        <v>230</v>
      </c>
    </row>
    <row r="191" spans="1:2" x14ac:dyDescent="0.3">
      <c r="A191" s="4">
        <v>45111</v>
      </c>
      <c r="B191" s="2">
        <v>500</v>
      </c>
    </row>
    <row r="192" spans="1:2" x14ac:dyDescent="0.3">
      <c r="A192" s="4">
        <v>45112</v>
      </c>
      <c r="B192" s="2">
        <v>780</v>
      </c>
    </row>
    <row r="193" spans="1:2" x14ac:dyDescent="0.3">
      <c r="A193" s="4">
        <v>45113</v>
      </c>
      <c r="B193" s="2">
        <v>2260</v>
      </c>
    </row>
    <row r="194" spans="1:2" x14ac:dyDescent="0.3">
      <c r="A194" s="4">
        <v>45115</v>
      </c>
      <c r="B194" s="2">
        <v>220</v>
      </c>
    </row>
    <row r="195" spans="1:2" x14ac:dyDescent="0.3">
      <c r="A195" s="4">
        <v>45116</v>
      </c>
      <c r="B195" s="2">
        <v>325</v>
      </c>
    </row>
    <row r="196" spans="1:2" x14ac:dyDescent="0.3">
      <c r="A196" s="4">
        <v>45118</v>
      </c>
      <c r="B196" s="2">
        <v>200</v>
      </c>
    </row>
    <row r="197" spans="1:2" x14ac:dyDescent="0.3">
      <c r="A197" s="4">
        <v>45119</v>
      </c>
      <c r="B197" s="2">
        <v>30</v>
      </c>
    </row>
    <row r="198" spans="1:2" x14ac:dyDescent="0.3">
      <c r="A198" s="4">
        <v>45120</v>
      </c>
      <c r="B198" s="2">
        <v>100</v>
      </c>
    </row>
    <row r="199" spans="1:2" x14ac:dyDescent="0.3">
      <c r="A199" s="4">
        <v>45121</v>
      </c>
      <c r="B199" s="2">
        <v>5125</v>
      </c>
    </row>
    <row r="200" spans="1:2" x14ac:dyDescent="0.3">
      <c r="A200" s="4">
        <v>45122</v>
      </c>
      <c r="B200" s="2">
        <v>3000</v>
      </c>
    </row>
    <row r="201" spans="1:2" x14ac:dyDescent="0.3">
      <c r="A201" s="4">
        <v>45123</v>
      </c>
      <c r="B201" s="2">
        <v>190</v>
      </c>
    </row>
    <row r="202" spans="1:2" x14ac:dyDescent="0.3">
      <c r="A202" s="4">
        <v>45124</v>
      </c>
      <c r="B202" s="2">
        <v>950</v>
      </c>
    </row>
    <row r="203" spans="1:2" x14ac:dyDescent="0.3">
      <c r="A203" s="4">
        <v>45126</v>
      </c>
      <c r="B203" s="2">
        <v>2060</v>
      </c>
    </row>
    <row r="204" spans="1:2" x14ac:dyDescent="0.3">
      <c r="A204" s="4">
        <v>45128</v>
      </c>
      <c r="B204" s="2">
        <v>1000</v>
      </c>
    </row>
    <row r="205" spans="1:2" x14ac:dyDescent="0.3">
      <c r="A205" s="4">
        <v>45129</v>
      </c>
      <c r="B205" s="2">
        <v>150</v>
      </c>
    </row>
    <row r="206" spans="1:2" x14ac:dyDescent="0.3">
      <c r="A206" s="4">
        <v>45130</v>
      </c>
      <c r="B206" s="2">
        <v>2000</v>
      </c>
    </row>
    <row r="207" spans="1:2" x14ac:dyDescent="0.3">
      <c r="A207" s="4">
        <v>45131</v>
      </c>
      <c r="B207" s="2">
        <v>4610</v>
      </c>
    </row>
    <row r="208" spans="1:2" x14ac:dyDescent="0.3">
      <c r="A208" s="4">
        <v>45132</v>
      </c>
      <c r="B208" s="2">
        <v>2000</v>
      </c>
    </row>
    <row r="209" spans="1:2" x14ac:dyDescent="0.3">
      <c r="A209" s="4">
        <v>45133</v>
      </c>
      <c r="B209" s="2">
        <v>1000</v>
      </c>
    </row>
    <row r="210" spans="1:2" x14ac:dyDescent="0.3">
      <c r="A210" s="4">
        <v>45134</v>
      </c>
      <c r="B210" s="2">
        <v>1190</v>
      </c>
    </row>
    <row r="211" spans="1:2" x14ac:dyDescent="0.3">
      <c r="A211" s="4">
        <v>45135</v>
      </c>
      <c r="B211" s="2">
        <v>3450</v>
      </c>
    </row>
    <row r="212" spans="1:2" x14ac:dyDescent="0.3">
      <c r="A212" s="4">
        <v>45136</v>
      </c>
      <c r="B212" s="2">
        <v>575</v>
      </c>
    </row>
    <row r="213" spans="1:2" x14ac:dyDescent="0.3">
      <c r="A213" s="4">
        <v>45137</v>
      </c>
      <c r="B213" s="2">
        <v>270</v>
      </c>
    </row>
    <row r="214" spans="1:2" x14ac:dyDescent="0.3">
      <c r="A214" s="4">
        <v>45138</v>
      </c>
      <c r="B214" s="2">
        <v>1500</v>
      </c>
    </row>
    <row r="215" spans="1:2" x14ac:dyDescent="0.3">
      <c r="A215" s="4">
        <v>45139</v>
      </c>
      <c r="B215" s="2">
        <v>720</v>
      </c>
    </row>
    <row r="216" spans="1:2" x14ac:dyDescent="0.3">
      <c r="A216" s="4">
        <v>45140</v>
      </c>
      <c r="B216" s="2">
        <v>50</v>
      </c>
    </row>
    <row r="217" spans="1:2" x14ac:dyDescent="0.3">
      <c r="A217" s="4">
        <v>45141</v>
      </c>
      <c r="B217" s="2">
        <v>375</v>
      </c>
    </row>
    <row r="218" spans="1:2" x14ac:dyDescent="0.3">
      <c r="A218" s="4">
        <v>45142</v>
      </c>
      <c r="B218" s="2">
        <v>260</v>
      </c>
    </row>
    <row r="219" spans="1:2" x14ac:dyDescent="0.3">
      <c r="A219" s="4">
        <v>45143</v>
      </c>
      <c r="B219" s="2">
        <v>5205</v>
      </c>
    </row>
    <row r="220" spans="1:2" x14ac:dyDescent="0.3">
      <c r="A220" s="4">
        <v>45144</v>
      </c>
      <c r="B220" s="2">
        <v>2500</v>
      </c>
    </row>
    <row r="221" spans="1:2" x14ac:dyDescent="0.3">
      <c r="A221" s="4">
        <v>45145</v>
      </c>
      <c r="B221" s="2">
        <v>1020</v>
      </c>
    </row>
    <row r="222" spans="1:2" x14ac:dyDescent="0.3">
      <c r="A222" s="4">
        <v>45146</v>
      </c>
      <c r="B222" s="2">
        <v>1385</v>
      </c>
    </row>
    <row r="223" spans="1:2" x14ac:dyDescent="0.3">
      <c r="A223" s="4">
        <v>45147</v>
      </c>
      <c r="B223" s="2">
        <v>1010</v>
      </c>
    </row>
    <row r="224" spans="1:2" x14ac:dyDescent="0.3">
      <c r="A224" s="4">
        <v>45148</v>
      </c>
      <c r="B224" s="2">
        <v>200</v>
      </c>
    </row>
    <row r="225" spans="1:2" x14ac:dyDescent="0.3">
      <c r="A225" s="4">
        <v>45149</v>
      </c>
      <c r="B225" s="2">
        <v>900</v>
      </c>
    </row>
    <row r="226" spans="1:2" x14ac:dyDescent="0.3">
      <c r="A226" s="4">
        <v>45150</v>
      </c>
      <c r="B226" s="2">
        <v>1370</v>
      </c>
    </row>
    <row r="227" spans="1:2" x14ac:dyDescent="0.3">
      <c r="A227" s="4">
        <v>45151</v>
      </c>
      <c r="B227" s="2">
        <v>700</v>
      </c>
    </row>
    <row r="228" spans="1:2" x14ac:dyDescent="0.3">
      <c r="A228" s="4">
        <v>45152</v>
      </c>
      <c r="B228" s="2">
        <v>1230</v>
      </c>
    </row>
    <row r="229" spans="1:2" x14ac:dyDescent="0.3">
      <c r="A229" s="4">
        <v>45153</v>
      </c>
      <c r="B229" s="2">
        <v>970</v>
      </c>
    </row>
    <row r="230" spans="1:2" x14ac:dyDescent="0.3">
      <c r="A230" s="4">
        <v>45155</v>
      </c>
      <c r="B230" s="2">
        <v>900</v>
      </c>
    </row>
    <row r="231" spans="1:2" x14ac:dyDescent="0.3">
      <c r="A231" s="4">
        <v>45156</v>
      </c>
      <c r="B231" s="2">
        <v>1630</v>
      </c>
    </row>
    <row r="232" spans="1:2" x14ac:dyDescent="0.3">
      <c r="A232" s="4">
        <v>45157</v>
      </c>
      <c r="B232" s="2">
        <v>2160</v>
      </c>
    </row>
    <row r="233" spans="1:2" x14ac:dyDescent="0.3">
      <c r="A233" s="4">
        <v>45158</v>
      </c>
      <c r="B233" s="2">
        <v>90</v>
      </c>
    </row>
    <row r="234" spans="1:2" x14ac:dyDescent="0.3">
      <c r="A234" s="4">
        <v>45159</v>
      </c>
      <c r="B234" s="2">
        <v>1560</v>
      </c>
    </row>
    <row r="235" spans="1:2" x14ac:dyDescent="0.3">
      <c r="A235" s="4">
        <v>45160</v>
      </c>
      <c r="B235" s="2">
        <v>1275</v>
      </c>
    </row>
    <row r="236" spans="1:2" x14ac:dyDescent="0.3">
      <c r="A236" s="4">
        <v>45161</v>
      </c>
      <c r="B236" s="2">
        <v>1730</v>
      </c>
    </row>
    <row r="237" spans="1:2" x14ac:dyDescent="0.3">
      <c r="A237" s="4">
        <v>45162</v>
      </c>
      <c r="B237" s="2">
        <v>1305</v>
      </c>
    </row>
    <row r="238" spans="1:2" x14ac:dyDescent="0.3">
      <c r="A238" s="4">
        <v>45163</v>
      </c>
      <c r="B238" s="2">
        <v>395</v>
      </c>
    </row>
    <row r="239" spans="1:2" x14ac:dyDescent="0.3">
      <c r="A239" s="4">
        <v>45164</v>
      </c>
      <c r="B239" s="2">
        <v>955</v>
      </c>
    </row>
    <row r="240" spans="1:2" x14ac:dyDescent="0.3">
      <c r="A240" s="4">
        <v>45165</v>
      </c>
      <c r="B240" s="2">
        <v>1725</v>
      </c>
    </row>
    <row r="241" spans="1:2" x14ac:dyDescent="0.3">
      <c r="A241" s="4">
        <v>45166</v>
      </c>
      <c r="B241" s="2">
        <v>350</v>
      </c>
    </row>
    <row r="242" spans="1:2" x14ac:dyDescent="0.3">
      <c r="A242" s="4">
        <v>45167</v>
      </c>
      <c r="B242" s="2">
        <v>2630</v>
      </c>
    </row>
    <row r="243" spans="1:2" x14ac:dyDescent="0.3">
      <c r="A243" s="4">
        <v>45169</v>
      </c>
      <c r="B243" s="2">
        <v>2360</v>
      </c>
    </row>
    <row r="244" spans="1:2" x14ac:dyDescent="0.3">
      <c r="A244" s="4">
        <v>45170</v>
      </c>
      <c r="B244" s="2">
        <v>1375</v>
      </c>
    </row>
    <row r="245" spans="1:2" x14ac:dyDescent="0.3">
      <c r="A245" s="4">
        <v>45171</v>
      </c>
      <c r="B245" s="2">
        <v>1370</v>
      </c>
    </row>
    <row r="246" spans="1:2" x14ac:dyDescent="0.3">
      <c r="A246" s="4">
        <v>45172</v>
      </c>
      <c r="B246" s="2">
        <v>300</v>
      </c>
    </row>
    <row r="247" spans="1:2" x14ac:dyDescent="0.3">
      <c r="A247" s="4">
        <v>45173</v>
      </c>
      <c r="B247" s="2">
        <v>1000</v>
      </c>
    </row>
    <row r="248" spans="1:2" x14ac:dyDescent="0.3">
      <c r="A248" s="4">
        <v>45174</v>
      </c>
      <c r="B248" s="2">
        <v>530</v>
      </c>
    </row>
    <row r="249" spans="1:2" x14ac:dyDescent="0.3">
      <c r="A249" s="4">
        <v>45175</v>
      </c>
      <c r="B249" s="2">
        <v>1765</v>
      </c>
    </row>
    <row r="250" spans="1:2" x14ac:dyDescent="0.3">
      <c r="A250" s="4">
        <v>45176</v>
      </c>
      <c r="B250" s="2">
        <v>420</v>
      </c>
    </row>
    <row r="251" spans="1:2" x14ac:dyDescent="0.3">
      <c r="A251" s="4">
        <v>45177</v>
      </c>
      <c r="B251" s="2">
        <v>1125</v>
      </c>
    </row>
    <row r="252" spans="1:2" x14ac:dyDescent="0.3">
      <c r="A252" s="4">
        <v>45178</v>
      </c>
      <c r="B252" s="2">
        <v>200</v>
      </c>
    </row>
    <row r="253" spans="1:2" x14ac:dyDescent="0.3">
      <c r="A253" s="4">
        <v>45179</v>
      </c>
      <c r="B253" s="2">
        <v>200</v>
      </c>
    </row>
    <row r="254" spans="1:2" x14ac:dyDescent="0.3">
      <c r="A254" s="4">
        <v>45180</v>
      </c>
      <c r="B254" s="2">
        <v>2200</v>
      </c>
    </row>
    <row r="255" spans="1:2" x14ac:dyDescent="0.3">
      <c r="A255" s="4">
        <v>45182</v>
      </c>
      <c r="B255" s="2">
        <v>50</v>
      </c>
    </row>
    <row r="256" spans="1:2" x14ac:dyDescent="0.3">
      <c r="A256" s="4">
        <v>45183</v>
      </c>
      <c r="B256" s="2">
        <v>1200</v>
      </c>
    </row>
    <row r="257" spans="1:2" x14ac:dyDescent="0.3">
      <c r="A257" s="4">
        <v>45184</v>
      </c>
      <c r="B257" s="2">
        <v>75</v>
      </c>
    </row>
    <row r="258" spans="1:2" x14ac:dyDescent="0.3">
      <c r="A258" s="4">
        <v>45185</v>
      </c>
      <c r="B258" s="2">
        <v>2150</v>
      </c>
    </row>
    <row r="259" spans="1:2" x14ac:dyDescent="0.3">
      <c r="A259" s="4">
        <v>45186</v>
      </c>
      <c r="B259" s="2">
        <v>700</v>
      </c>
    </row>
    <row r="260" spans="1:2" x14ac:dyDescent="0.3">
      <c r="A260" s="4">
        <v>45187</v>
      </c>
      <c r="B260" s="2">
        <v>1000</v>
      </c>
    </row>
    <row r="261" spans="1:2" x14ac:dyDescent="0.3">
      <c r="A261" s="4">
        <v>45188</v>
      </c>
      <c r="B261" s="2">
        <v>160</v>
      </c>
    </row>
    <row r="262" spans="1:2" x14ac:dyDescent="0.3">
      <c r="A262" s="4">
        <v>45190</v>
      </c>
      <c r="B262" s="2">
        <v>105</v>
      </c>
    </row>
    <row r="263" spans="1:2" x14ac:dyDescent="0.3">
      <c r="A263" s="4">
        <v>45191</v>
      </c>
      <c r="B263" s="2">
        <v>140</v>
      </c>
    </row>
    <row r="264" spans="1:2" x14ac:dyDescent="0.3">
      <c r="A264" s="4">
        <v>45192</v>
      </c>
      <c r="B264" s="2">
        <v>100</v>
      </c>
    </row>
    <row r="265" spans="1:2" x14ac:dyDescent="0.3">
      <c r="A265" s="4">
        <v>45193</v>
      </c>
      <c r="B265" s="2">
        <v>390</v>
      </c>
    </row>
    <row r="266" spans="1:2" x14ac:dyDescent="0.3">
      <c r="A266" s="4">
        <v>45194</v>
      </c>
      <c r="B266" s="2">
        <v>1090</v>
      </c>
    </row>
    <row r="267" spans="1:2" x14ac:dyDescent="0.3">
      <c r="A267" s="4">
        <v>45195</v>
      </c>
      <c r="B267" s="2">
        <v>100</v>
      </c>
    </row>
    <row r="268" spans="1:2" x14ac:dyDescent="0.3">
      <c r="A268" s="4">
        <v>45197</v>
      </c>
      <c r="B268" s="2">
        <v>425</v>
      </c>
    </row>
    <row r="269" spans="1:2" x14ac:dyDescent="0.3">
      <c r="A269" s="4">
        <v>45198</v>
      </c>
      <c r="B269" s="2">
        <v>2550</v>
      </c>
    </row>
    <row r="270" spans="1:2" x14ac:dyDescent="0.3">
      <c r="A270" s="4">
        <v>45199</v>
      </c>
      <c r="B270" s="2">
        <v>2900</v>
      </c>
    </row>
    <row r="271" spans="1:2" x14ac:dyDescent="0.3">
      <c r="A271" s="4">
        <v>45200</v>
      </c>
      <c r="B271" s="2">
        <v>2800</v>
      </c>
    </row>
    <row r="272" spans="1:2" x14ac:dyDescent="0.3">
      <c r="A272" s="4">
        <v>45201</v>
      </c>
      <c r="B272" s="2">
        <v>1245</v>
      </c>
    </row>
    <row r="273" spans="1:2" x14ac:dyDescent="0.3">
      <c r="A273" s="4">
        <v>45202</v>
      </c>
      <c r="B273" s="2">
        <v>2170</v>
      </c>
    </row>
    <row r="274" spans="1:2" x14ac:dyDescent="0.3">
      <c r="A274" s="4">
        <v>45203</v>
      </c>
      <c r="B274" s="2">
        <v>3010</v>
      </c>
    </row>
    <row r="275" spans="1:2" x14ac:dyDescent="0.3">
      <c r="A275" s="4">
        <v>45204</v>
      </c>
      <c r="B275" s="2">
        <v>530</v>
      </c>
    </row>
    <row r="276" spans="1:2" x14ac:dyDescent="0.3">
      <c r="A276" s="4">
        <v>45205</v>
      </c>
      <c r="B276" s="2">
        <v>1500</v>
      </c>
    </row>
    <row r="277" spans="1:2" x14ac:dyDescent="0.3">
      <c r="A277" s="4">
        <v>45206</v>
      </c>
      <c r="B277" s="2">
        <v>2500</v>
      </c>
    </row>
    <row r="278" spans="1:2" x14ac:dyDescent="0.3">
      <c r="A278" s="4">
        <v>45207</v>
      </c>
      <c r="B278" s="2">
        <v>2025</v>
      </c>
    </row>
    <row r="279" spans="1:2" x14ac:dyDescent="0.3">
      <c r="A279" s="4">
        <v>45208</v>
      </c>
      <c r="B279" s="2">
        <v>195</v>
      </c>
    </row>
    <row r="280" spans="1:2" x14ac:dyDescent="0.3">
      <c r="A280" s="4">
        <v>45209</v>
      </c>
      <c r="B280" s="2">
        <v>2120</v>
      </c>
    </row>
    <row r="281" spans="1:2" x14ac:dyDescent="0.3">
      <c r="A281" s="4">
        <v>45210</v>
      </c>
      <c r="B281" s="2">
        <v>2250</v>
      </c>
    </row>
    <row r="282" spans="1:2" x14ac:dyDescent="0.3">
      <c r="A282" s="4">
        <v>45211</v>
      </c>
      <c r="B282" s="2">
        <v>475</v>
      </c>
    </row>
    <row r="283" spans="1:2" x14ac:dyDescent="0.3">
      <c r="A283" s="4">
        <v>45212</v>
      </c>
      <c r="B283" s="2">
        <v>1175</v>
      </c>
    </row>
    <row r="284" spans="1:2" x14ac:dyDescent="0.3">
      <c r="A284" s="4">
        <v>45213</v>
      </c>
      <c r="B284" s="2">
        <v>110</v>
      </c>
    </row>
    <row r="285" spans="1:2" x14ac:dyDescent="0.3">
      <c r="A285" s="4">
        <v>45214</v>
      </c>
      <c r="B285" s="2">
        <v>1500</v>
      </c>
    </row>
    <row r="286" spans="1:2" x14ac:dyDescent="0.3">
      <c r="A286" s="4">
        <v>45215</v>
      </c>
      <c r="B286" s="2">
        <v>2860</v>
      </c>
    </row>
    <row r="287" spans="1:2" x14ac:dyDescent="0.3">
      <c r="A287" s="4">
        <v>45216</v>
      </c>
      <c r="B287" s="2">
        <v>175</v>
      </c>
    </row>
    <row r="288" spans="1:2" x14ac:dyDescent="0.3">
      <c r="A288" s="4">
        <v>45217</v>
      </c>
      <c r="B288" s="2">
        <v>2025</v>
      </c>
    </row>
    <row r="289" spans="1:2" x14ac:dyDescent="0.3">
      <c r="A289" s="4">
        <v>45218</v>
      </c>
      <c r="B289" s="2">
        <v>1860</v>
      </c>
    </row>
    <row r="290" spans="1:2" x14ac:dyDescent="0.3">
      <c r="A290" s="4">
        <v>45219</v>
      </c>
      <c r="B290" s="2">
        <v>50</v>
      </c>
    </row>
    <row r="291" spans="1:2" x14ac:dyDescent="0.3">
      <c r="A291" s="4">
        <v>45220</v>
      </c>
      <c r="B291" s="2">
        <v>50</v>
      </c>
    </row>
    <row r="292" spans="1:2" x14ac:dyDescent="0.3">
      <c r="A292" s="4">
        <v>45221</v>
      </c>
      <c r="B292" s="2">
        <v>1950</v>
      </c>
    </row>
    <row r="293" spans="1:2" x14ac:dyDescent="0.3">
      <c r="A293" s="4">
        <v>45222</v>
      </c>
      <c r="B293" s="2">
        <v>800</v>
      </c>
    </row>
    <row r="294" spans="1:2" x14ac:dyDescent="0.3">
      <c r="A294" s="4">
        <v>45223</v>
      </c>
      <c r="B294" s="2">
        <v>2200</v>
      </c>
    </row>
    <row r="295" spans="1:2" x14ac:dyDescent="0.3">
      <c r="A295" s="4">
        <v>45224</v>
      </c>
      <c r="B295" s="2">
        <v>3500</v>
      </c>
    </row>
    <row r="296" spans="1:2" x14ac:dyDescent="0.3">
      <c r="A296" s="4">
        <v>45225</v>
      </c>
      <c r="B296" s="2">
        <v>740</v>
      </c>
    </row>
    <row r="297" spans="1:2" x14ac:dyDescent="0.3">
      <c r="A297" s="4">
        <v>45226</v>
      </c>
      <c r="B297" s="2">
        <v>3650</v>
      </c>
    </row>
    <row r="298" spans="1:2" x14ac:dyDescent="0.3">
      <c r="A298" s="4">
        <v>45228</v>
      </c>
      <c r="B298" s="2">
        <v>1250</v>
      </c>
    </row>
    <row r="299" spans="1:2" x14ac:dyDescent="0.3">
      <c r="A299" s="4">
        <v>45229</v>
      </c>
      <c r="B299" s="2">
        <v>75</v>
      </c>
    </row>
    <row r="300" spans="1:2" x14ac:dyDescent="0.3">
      <c r="A300" s="4">
        <v>45230</v>
      </c>
      <c r="B300" s="2">
        <v>1790</v>
      </c>
    </row>
    <row r="301" spans="1:2" x14ac:dyDescent="0.3">
      <c r="A301" s="4">
        <v>45231</v>
      </c>
      <c r="B301" s="2">
        <v>1450</v>
      </c>
    </row>
    <row r="302" spans="1:2" x14ac:dyDescent="0.3">
      <c r="A302" s="4">
        <v>45232</v>
      </c>
      <c r="B302" s="2">
        <v>1915</v>
      </c>
    </row>
    <row r="303" spans="1:2" x14ac:dyDescent="0.3">
      <c r="A303" s="4">
        <v>45233</v>
      </c>
      <c r="B303" s="2">
        <v>1200</v>
      </c>
    </row>
    <row r="304" spans="1:2" x14ac:dyDescent="0.3">
      <c r="A304" s="4">
        <v>45234</v>
      </c>
      <c r="B304" s="2">
        <v>500</v>
      </c>
    </row>
    <row r="305" spans="1:2" x14ac:dyDescent="0.3">
      <c r="A305" s="4">
        <v>45235</v>
      </c>
      <c r="B305" s="2">
        <v>1800</v>
      </c>
    </row>
    <row r="306" spans="1:2" x14ac:dyDescent="0.3">
      <c r="A306" s="4">
        <v>45236</v>
      </c>
      <c r="B306" s="2">
        <v>2700</v>
      </c>
    </row>
    <row r="307" spans="1:2" x14ac:dyDescent="0.3">
      <c r="A307" s="4">
        <v>45237</v>
      </c>
      <c r="B307" s="2">
        <v>1560</v>
      </c>
    </row>
    <row r="308" spans="1:2" x14ac:dyDescent="0.3">
      <c r="A308" s="4">
        <v>45238</v>
      </c>
      <c r="B308" s="2">
        <v>210</v>
      </c>
    </row>
    <row r="309" spans="1:2" x14ac:dyDescent="0.3">
      <c r="A309" s="4">
        <v>45239</v>
      </c>
      <c r="B309" s="2">
        <v>3100</v>
      </c>
    </row>
    <row r="310" spans="1:2" x14ac:dyDescent="0.3">
      <c r="A310" s="4">
        <v>45240</v>
      </c>
      <c r="B310" s="2">
        <v>115</v>
      </c>
    </row>
    <row r="311" spans="1:2" x14ac:dyDescent="0.3">
      <c r="A311" s="4">
        <v>45242</v>
      </c>
      <c r="B311" s="2">
        <v>225</v>
      </c>
    </row>
    <row r="312" spans="1:2" x14ac:dyDescent="0.3">
      <c r="A312" s="4">
        <v>45243</v>
      </c>
      <c r="B312" s="2">
        <v>1225</v>
      </c>
    </row>
    <row r="313" spans="1:2" x14ac:dyDescent="0.3">
      <c r="A313" s="4">
        <v>45244</v>
      </c>
      <c r="B313" s="2">
        <v>1080</v>
      </c>
    </row>
    <row r="314" spans="1:2" x14ac:dyDescent="0.3">
      <c r="A314" s="4">
        <v>45245</v>
      </c>
      <c r="B314" s="2">
        <v>1630</v>
      </c>
    </row>
    <row r="315" spans="1:2" x14ac:dyDescent="0.3">
      <c r="A315" s="4">
        <v>45246</v>
      </c>
      <c r="B315" s="2">
        <v>1500</v>
      </c>
    </row>
    <row r="316" spans="1:2" x14ac:dyDescent="0.3">
      <c r="A316" s="4">
        <v>45247</v>
      </c>
      <c r="B316" s="2">
        <v>2610</v>
      </c>
    </row>
    <row r="317" spans="1:2" x14ac:dyDescent="0.3">
      <c r="A317" s="4">
        <v>45248</v>
      </c>
      <c r="B317" s="2">
        <v>1130</v>
      </c>
    </row>
    <row r="318" spans="1:2" x14ac:dyDescent="0.3">
      <c r="A318" s="4">
        <v>45249</v>
      </c>
      <c r="B318" s="2">
        <v>300</v>
      </c>
    </row>
    <row r="319" spans="1:2" x14ac:dyDescent="0.3">
      <c r="A319" s="4">
        <v>45250</v>
      </c>
      <c r="B319" s="2">
        <v>50</v>
      </c>
    </row>
    <row r="320" spans="1:2" x14ac:dyDescent="0.3">
      <c r="A320" s="4">
        <v>45251</v>
      </c>
      <c r="B320" s="2">
        <v>1060</v>
      </c>
    </row>
    <row r="321" spans="1:2" x14ac:dyDescent="0.3">
      <c r="A321" s="4">
        <v>45252</v>
      </c>
      <c r="B321" s="2">
        <v>2200</v>
      </c>
    </row>
    <row r="322" spans="1:2" x14ac:dyDescent="0.3">
      <c r="A322" s="4">
        <v>45253</v>
      </c>
      <c r="B322" s="2">
        <v>1590</v>
      </c>
    </row>
    <row r="323" spans="1:2" x14ac:dyDescent="0.3">
      <c r="A323" s="4">
        <v>45254</v>
      </c>
      <c r="B323" s="2">
        <v>1110</v>
      </c>
    </row>
    <row r="324" spans="1:2" x14ac:dyDescent="0.3">
      <c r="A324" s="4">
        <v>45255</v>
      </c>
      <c r="B324" s="2">
        <v>150</v>
      </c>
    </row>
    <row r="325" spans="1:2" x14ac:dyDescent="0.3">
      <c r="A325" s="4">
        <v>45256</v>
      </c>
      <c r="B325" s="2">
        <v>1600</v>
      </c>
    </row>
    <row r="326" spans="1:2" x14ac:dyDescent="0.3">
      <c r="A326" s="4">
        <v>45257</v>
      </c>
      <c r="B326" s="2">
        <v>235</v>
      </c>
    </row>
    <row r="327" spans="1:2" x14ac:dyDescent="0.3">
      <c r="A327" s="4">
        <v>45258</v>
      </c>
      <c r="B327" s="2">
        <v>390</v>
      </c>
    </row>
    <row r="328" spans="1:2" x14ac:dyDescent="0.3">
      <c r="A328" s="4">
        <v>45259</v>
      </c>
      <c r="B328" s="2">
        <v>1825</v>
      </c>
    </row>
    <row r="329" spans="1:2" x14ac:dyDescent="0.3">
      <c r="A329" s="4">
        <v>45260</v>
      </c>
      <c r="B329" s="2">
        <v>460</v>
      </c>
    </row>
    <row r="330" spans="1:2" x14ac:dyDescent="0.3">
      <c r="A330" s="4">
        <v>45261</v>
      </c>
      <c r="B330" s="2">
        <v>110</v>
      </c>
    </row>
    <row r="331" spans="1:2" x14ac:dyDescent="0.3">
      <c r="A331" s="4">
        <v>45262</v>
      </c>
      <c r="B331" s="2">
        <v>3030</v>
      </c>
    </row>
    <row r="332" spans="1:2" x14ac:dyDescent="0.3">
      <c r="A332" s="4">
        <v>45263</v>
      </c>
      <c r="B332" s="2">
        <v>600</v>
      </c>
    </row>
    <row r="333" spans="1:2" x14ac:dyDescent="0.3">
      <c r="A333" s="4">
        <v>45264</v>
      </c>
      <c r="B333" s="2">
        <v>1730</v>
      </c>
    </row>
    <row r="334" spans="1:2" x14ac:dyDescent="0.3">
      <c r="A334" s="4">
        <v>45265</v>
      </c>
      <c r="B334" s="2">
        <v>2475</v>
      </c>
    </row>
    <row r="335" spans="1:2" x14ac:dyDescent="0.3">
      <c r="A335" s="4">
        <v>45266</v>
      </c>
      <c r="B335" s="2">
        <v>2940</v>
      </c>
    </row>
    <row r="336" spans="1:2" x14ac:dyDescent="0.3">
      <c r="A336" s="4">
        <v>45267</v>
      </c>
      <c r="B336" s="2">
        <v>1400</v>
      </c>
    </row>
    <row r="337" spans="1:2" x14ac:dyDescent="0.3">
      <c r="A337" s="4">
        <v>45268</v>
      </c>
      <c r="B337" s="2">
        <v>2800</v>
      </c>
    </row>
    <row r="338" spans="1:2" x14ac:dyDescent="0.3">
      <c r="A338" s="4">
        <v>45269</v>
      </c>
      <c r="B338" s="2">
        <v>3925</v>
      </c>
    </row>
    <row r="339" spans="1:2" x14ac:dyDescent="0.3">
      <c r="A339" s="4">
        <v>45270</v>
      </c>
      <c r="B339" s="2">
        <v>1420</v>
      </c>
    </row>
    <row r="340" spans="1:2" x14ac:dyDescent="0.3">
      <c r="A340" s="4">
        <v>45271</v>
      </c>
      <c r="B340" s="2">
        <v>950</v>
      </c>
    </row>
    <row r="341" spans="1:2" x14ac:dyDescent="0.3">
      <c r="A341" s="4">
        <v>45272</v>
      </c>
      <c r="B341" s="2">
        <v>200</v>
      </c>
    </row>
    <row r="342" spans="1:2" x14ac:dyDescent="0.3">
      <c r="A342" s="4">
        <v>45273</v>
      </c>
      <c r="B342" s="2">
        <v>725</v>
      </c>
    </row>
    <row r="343" spans="1:2" x14ac:dyDescent="0.3">
      <c r="A343" s="4">
        <v>45274</v>
      </c>
      <c r="B343" s="2">
        <v>660</v>
      </c>
    </row>
    <row r="344" spans="1:2" x14ac:dyDescent="0.3">
      <c r="A344" s="4">
        <v>45275</v>
      </c>
      <c r="B344" s="2">
        <v>2050</v>
      </c>
    </row>
    <row r="345" spans="1:2" x14ac:dyDescent="0.3">
      <c r="A345" s="4">
        <v>45276</v>
      </c>
      <c r="B345" s="2">
        <v>1130</v>
      </c>
    </row>
    <row r="346" spans="1:2" x14ac:dyDescent="0.3">
      <c r="A346" s="4">
        <v>45277</v>
      </c>
      <c r="B346" s="2">
        <v>1500</v>
      </c>
    </row>
    <row r="347" spans="1:2" x14ac:dyDescent="0.3">
      <c r="A347" s="4">
        <v>45278</v>
      </c>
      <c r="B347" s="2">
        <v>2250</v>
      </c>
    </row>
    <row r="348" spans="1:2" x14ac:dyDescent="0.3">
      <c r="A348" s="4">
        <v>45279</v>
      </c>
      <c r="B348" s="2">
        <v>790</v>
      </c>
    </row>
    <row r="349" spans="1:2" x14ac:dyDescent="0.3">
      <c r="A349" s="4">
        <v>45280</v>
      </c>
      <c r="B349" s="2">
        <v>1350</v>
      </c>
    </row>
    <row r="350" spans="1:2" x14ac:dyDescent="0.3">
      <c r="A350" s="4">
        <v>45281</v>
      </c>
      <c r="B350" s="2">
        <v>300</v>
      </c>
    </row>
    <row r="351" spans="1:2" x14ac:dyDescent="0.3">
      <c r="A351" s="4">
        <v>45282</v>
      </c>
      <c r="B351" s="2">
        <v>1000</v>
      </c>
    </row>
    <row r="352" spans="1:2" x14ac:dyDescent="0.3">
      <c r="A352" s="4">
        <v>45283</v>
      </c>
      <c r="B352" s="2">
        <v>1850</v>
      </c>
    </row>
    <row r="353" spans="1:2" x14ac:dyDescent="0.3">
      <c r="A353" s="4">
        <v>45284</v>
      </c>
      <c r="B353" s="2">
        <v>200</v>
      </c>
    </row>
    <row r="354" spans="1:2" x14ac:dyDescent="0.3">
      <c r="A354" s="4">
        <v>45285</v>
      </c>
      <c r="B354" s="2">
        <v>1200</v>
      </c>
    </row>
    <row r="355" spans="1:2" x14ac:dyDescent="0.3">
      <c r="A355" s="4">
        <v>45286</v>
      </c>
      <c r="B355" s="2">
        <v>1880</v>
      </c>
    </row>
    <row r="356" spans="1:2" x14ac:dyDescent="0.3">
      <c r="A356" s="4">
        <v>45287</v>
      </c>
      <c r="B356" s="2">
        <v>700</v>
      </c>
    </row>
    <row r="357" spans="1:2" x14ac:dyDescent="0.3">
      <c r="A357" s="4">
        <v>45288</v>
      </c>
      <c r="B357" s="2">
        <v>2075</v>
      </c>
    </row>
    <row r="358" spans="1:2" x14ac:dyDescent="0.3">
      <c r="A358" s="4">
        <v>45289</v>
      </c>
      <c r="B358" s="2">
        <v>3400</v>
      </c>
    </row>
    <row r="359" spans="1:2" x14ac:dyDescent="0.3">
      <c r="A359" s="4">
        <v>45291</v>
      </c>
      <c r="B359" s="2">
        <v>50</v>
      </c>
    </row>
    <row r="360" spans="1:2" x14ac:dyDescent="0.3">
      <c r="A360" s="4">
        <v>45292</v>
      </c>
      <c r="B360" s="2">
        <v>1530</v>
      </c>
    </row>
    <row r="361" spans="1:2" x14ac:dyDescent="0.3">
      <c r="A361" s="4" t="s">
        <v>1014</v>
      </c>
      <c r="B361" s="2">
        <v>456000</v>
      </c>
    </row>
    <row r="363" spans="1:2" x14ac:dyDescent="0.3">
      <c r="A363" s="47" t="s">
        <v>1024</v>
      </c>
      <c r="B363" s="48"/>
    </row>
    <row r="364" spans="1:2" x14ac:dyDescent="0.3">
      <c r="A364" s="3" t="s">
        <v>4</v>
      </c>
      <c r="B364" t="s">
        <v>1015</v>
      </c>
    </row>
    <row r="365" spans="1:2" x14ac:dyDescent="0.3">
      <c r="A365" s="5" t="s">
        <v>1016</v>
      </c>
      <c r="B365" s="2">
        <v>107915</v>
      </c>
    </row>
    <row r="366" spans="1:2" x14ac:dyDescent="0.3">
      <c r="A366" s="5" t="s">
        <v>1017</v>
      </c>
      <c r="B366" s="2">
        <v>95870</v>
      </c>
    </row>
    <row r="367" spans="1:2" x14ac:dyDescent="0.3">
      <c r="A367" s="5" t="s">
        <v>1018</v>
      </c>
      <c r="B367" s="2">
        <v>96710</v>
      </c>
    </row>
    <row r="368" spans="1:2" x14ac:dyDescent="0.3">
      <c r="A368" s="5" t="s">
        <v>1019</v>
      </c>
      <c r="B368" s="2">
        <v>93825</v>
      </c>
    </row>
    <row r="369" spans="1:2" x14ac:dyDescent="0.3">
      <c r="A369" s="5" t="s">
        <v>1020</v>
      </c>
      <c r="B369" s="2">
        <v>61680</v>
      </c>
    </row>
    <row r="370" spans="1:2" x14ac:dyDescent="0.3">
      <c r="A370" s="5" t="s">
        <v>1014</v>
      </c>
      <c r="B370" s="2">
        <v>456000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F5E8-3C18-4018-A673-F2E004812487}">
  <dimension ref="A1:I78"/>
  <sheetViews>
    <sheetView topLeftCell="A34" workbookViewId="0">
      <selection activeCell="G26" sqref="G26"/>
    </sheetView>
  </sheetViews>
  <sheetFormatPr defaultRowHeight="14.4" x14ac:dyDescent="0.3"/>
  <cols>
    <col min="1" max="1" width="23.5546875" customWidth="1"/>
    <col min="2" max="2" width="16.109375" bestFit="1" customWidth="1"/>
    <col min="3" max="3" width="12.6640625" bestFit="1" customWidth="1"/>
    <col min="4" max="5" width="16.6640625" bestFit="1" customWidth="1"/>
  </cols>
  <sheetData>
    <row r="1" spans="1:5" ht="18" x14ac:dyDescent="0.35">
      <c r="A1" s="14" t="s">
        <v>1029</v>
      </c>
      <c r="B1" s="15"/>
      <c r="C1" s="15"/>
      <c r="D1" s="16"/>
      <c r="E1" s="13"/>
    </row>
    <row r="2" spans="1:5" x14ac:dyDescent="0.3">
      <c r="A2" s="17" t="s">
        <v>1025</v>
      </c>
      <c r="B2" s="6" t="s">
        <v>1026</v>
      </c>
      <c r="C2" s="6" t="s">
        <v>1027</v>
      </c>
      <c r="D2" s="18" t="s">
        <v>1028</v>
      </c>
    </row>
    <row r="3" spans="1:5" ht="15" thickBot="1" x14ac:dyDescent="0.35">
      <c r="A3" s="10">
        <f>SUM(SalesData[Total Amount])</f>
        <v>456000</v>
      </c>
      <c r="B3" s="11">
        <f>COUNTA(SalesData[Transaction ID])</f>
        <v>1000</v>
      </c>
      <c r="C3" s="11">
        <f>AVERAGE(SalesData[Total Amount])</f>
        <v>456</v>
      </c>
      <c r="D3" s="12">
        <f>SUM(SalesData[Quantity])</f>
        <v>2514</v>
      </c>
    </row>
    <row r="5" spans="1:5" ht="18" x14ac:dyDescent="0.35">
      <c r="A5" s="7" t="s">
        <v>1021</v>
      </c>
      <c r="B5" s="7"/>
      <c r="C5" s="8"/>
    </row>
    <row r="22" spans="1:1" ht="18" x14ac:dyDescent="0.35">
      <c r="A22" s="9" t="s">
        <v>1022</v>
      </c>
    </row>
    <row r="39" spans="1:1" ht="18" x14ac:dyDescent="0.35">
      <c r="A39" s="9" t="s">
        <v>1023</v>
      </c>
    </row>
    <row r="56" spans="1:1" ht="18" x14ac:dyDescent="0.35">
      <c r="A56" s="9" t="s">
        <v>1024</v>
      </c>
    </row>
    <row r="73" spans="1:9" ht="23.4" x14ac:dyDescent="0.45">
      <c r="A73" s="22" t="s">
        <v>1035</v>
      </c>
      <c r="B73" s="23"/>
      <c r="C73" s="23"/>
      <c r="D73" s="23"/>
      <c r="E73" s="23"/>
      <c r="F73" s="23"/>
      <c r="G73" s="23"/>
      <c r="H73" s="23"/>
      <c r="I73" s="24"/>
    </row>
    <row r="74" spans="1:9" ht="19.8" customHeight="1" x14ac:dyDescent="0.3">
      <c r="A74" s="19" t="s">
        <v>1030</v>
      </c>
      <c r="B74" s="20"/>
      <c r="C74" s="20"/>
      <c r="D74" s="20"/>
      <c r="E74" s="20"/>
      <c r="F74" s="20"/>
      <c r="G74" s="20"/>
      <c r="H74" s="20"/>
      <c r="I74" s="21"/>
    </row>
    <row r="75" spans="1:9" ht="18.600000000000001" customHeight="1" x14ac:dyDescent="0.3">
      <c r="A75" s="19" t="s">
        <v>1031</v>
      </c>
      <c r="B75" s="20"/>
      <c r="C75" s="20"/>
      <c r="D75" s="20"/>
      <c r="E75" s="20"/>
      <c r="F75" s="20"/>
      <c r="G75" s="20"/>
      <c r="H75" s="20"/>
      <c r="I75" s="21"/>
    </row>
    <row r="76" spans="1:9" ht="30" customHeight="1" x14ac:dyDescent="0.3">
      <c r="A76" s="19" t="s">
        <v>1032</v>
      </c>
      <c r="B76" s="20"/>
      <c r="C76" s="20"/>
      <c r="D76" s="20"/>
      <c r="E76" s="20"/>
      <c r="F76" s="20"/>
      <c r="G76" s="20"/>
      <c r="H76" s="20"/>
      <c r="I76" s="21"/>
    </row>
    <row r="77" spans="1:9" ht="16.2" customHeight="1" x14ac:dyDescent="0.3">
      <c r="A77" s="19" t="s">
        <v>1033</v>
      </c>
      <c r="B77" s="20"/>
      <c r="C77" s="20"/>
      <c r="D77" s="20"/>
      <c r="E77" s="20"/>
      <c r="F77" s="20"/>
      <c r="G77" s="20"/>
      <c r="H77" s="20"/>
      <c r="I77" s="21"/>
    </row>
    <row r="78" spans="1:9" ht="15" customHeight="1" x14ac:dyDescent="0.3">
      <c r="A78" s="19" t="s">
        <v>1034</v>
      </c>
      <c r="B78" s="20"/>
      <c r="C78" s="20"/>
      <c r="D78" s="20"/>
      <c r="E78" s="20"/>
      <c r="F78" s="20"/>
      <c r="G78" s="20"/>
      <c r="H78" s="20"/>
      <c r="I78" s="21"/>
    </row>
  </sheetData>
  <mergeCells count="7">
    <mergeCell ref="A73:I73"/>
    <mergeCell ref="A74:I74"/>
    <mergeCell ref="A75:I75"/>
    <mergeCell ref="A76:I76"/>
    <mergeCell ref="A77:I77"/>
    <mergeCell ref="A78:I78"/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Analysis Project</vt:lpstr>
      <vt:lpstr>Analysis Questions</vt:lpstr>
      <vt:lpstr>Pivot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MIRZA</dc:creator>
  <cp:lastModifiedBy>Faiza Mirza</cp:lastModifiedBy>
  <dcterms:created xsi:type="dcterms:W3CDTF">2026-07-09T17:56:19Z</dcterms:created>
  <dcterms:modified xsi:type="dcterms:W3CDTF">2026-07-09T17:56:19Z</dcterms:modified>
</cp:coreProperties>
</file>